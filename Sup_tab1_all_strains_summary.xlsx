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setA=natural_strains" sheetId="1" r:id="rId4"/>
    <sheet state="visible" name="2.setsB-C=artificial_strains" sheetId="2" r:id="rId5"/>
    <sheet state="visible" name="3. strains_for_GTR_model" sheetId="3" r:id="rId6"/>
    <sheet state="visible" name="4. tools references" sheetId="4" r:id="rId7"/>
  </sheets>
  <definedNames/>
  <calcPr/>
  <extLst>
    <ext uri="GoogleSheetsCustomDataVersion2">
      <go:sheetsCustomData xmlns:go="http://customooxmlschemas.google.com/" r:id="rId8" roundtripDataChecksum="vU5ywgM8HfRqM+K/45pyyU0Ztl8wrhSV2Iyco+HWibg="/>
    </ext>
  </extLst>
</workbook>
</file>

<file path=xl/sharedStrings.xml><?xml version="1.0" encoding="utf-8"?>
<sst xmlns="http://schemas.openxmlformats.org/spreadsheetml/2006/main" count="386" uniqueCount="226">
  <si>
    <t>SampleID</t>
  </si>
  <si>
    <t>Count</t>
  </si>
  <si>
    <t>Figure</t>
  </si>
  <si>
    <t>lineage</t>
  </si>
  <si>
    <t>sublineage</t>
  </si>
  <si>
    <t>Source</t>
  </si>
  <si>
    <t>Assembly</t>
  </si>
  <si>
    <t>Assembly type</t>
  </si>
  <si>
    <t>Completion</t>
  </si>
  <si>
    <t>01_R1134</t>
  </si>
  <si>
    <t>lineage4</t>
  </si>
  <si>
    <t>Marin - 2022</t>
  </si>
  <si>
    <t>GCF_029867225.1</t>
  </si>
  <si>
    <t>Long read + Short read</t>
  </si>
  <si>
    <t>Complete genome</t>
  </si>
  <si>
    <t>01_R1430</t>
  </si>
  <si>
    <t>lineage4.4.1</t>
  </si>
  <si>
    <t>GCF_029867105.1</t>
  </si>
  <si>
    <t>02_R0894</t>
  </si>
  <si>
    <t>lineage4.1.2.1</t>
  </si>
  <si>
    <t>GCF_029867125.1</t>
  </si>
  <si>
    <t>02_R1179</t>
  </si>
  <si>
    <t>lineage4.3.3</t>
  </si>
  <si>
    <t>GCF_029867265.1</t>
  </si>
  <si>
    <t>02_R1708</t>
  </si>
  <si>
    <t>GCF_029867145.1</t>
  </si>
  <si>
    <t>02_R1896</t>
  </si>
  <si>
    <t>lineage4.4.1.1</t>
  </si>
  <si>
    <t>GCF_029867165.1</t>
  </si>
  <si>
    <t>BCG_Pasteur</t>
  </si>
  <si>
    <t>bovis</t>
  </si>
  <si>
    <t>Bovis</t>
  </si>
  <si>
    <t>Guyeux - 2021</t>
  </si>
  <si>
    <t>GCA_000009445.1</t>
  </si>
  <si>
    <t>Sanger</t>
  </si>
  <si>
    <t>CDC1551</t>
  </si>
  <si>
    <t>lineage4.1.1.3</t>
  </si>
  <si>
    <t>GCF_000669715.1</t>
  </si>
  <si>
    <t>Erdman</t>
  </si>
  <si>
    <t>GCA_000350205.1</t>
  </si>
  <si>
    <t>F11</t>
  </si>
  <si>
    <t>lineage4.3.2.1</t>
  </si>
  <si>
    <t>GCA_000016925.1</t>
  </si>
  <si>
    <t>FDAARGOS_751</t>
  </si>
  <si>
    <t>lineage1</t>
  </si>
  <si>
    <t>NA</t>
  </si>
  <si>
    <t>not_published</t>
  </si>
  <si>
    <t>GCF_009730215.1</t>
  </si>
  <si>
    <t>L5_Benin</t>
  </si>
  <si>
    <t>lineage5</t>
  </si>
  <si>
    <t>Sanoussi - 2021</t>
  </si>
  <si>
    <t>GCF_021559895.1</t>
  </si>
  <si>
    <t>Long read</t>
  </si>
  <si>
    <t>M0010874_7</t>
  </si>
  <si>
    <t>GCF_029867085.1</t>
  </si>
  <si>
    <t>M0011368_9</t>
  </si>
  <si>
    <t>GCF_022023995.1</t>
  </si>
  <si>
    <t>M0014888_3</t>
  </si>
  <si>
    <t>GCF_029867045.1</t>
  </si>
  <si>
    <t>M0016395_7</t>
  </si>
  <si>
    <t>lineage4.3.2</t>
  </si>
  <si>
    <t>GCF_029867065.1</t>
  </si>
  <si>
    <t>M0016737_0</t>
  </si>
  <si>
    <t>lineage4.5</t>
  </si>
  <si>
    <t>GCF_029867185.1</t>
  </si>
  <si>
    <t>M0017522_5</t>
  </si>
  <si>
    <t>lineage4.1.1</t>
  </si>
  <si>
    <t>GCF_029867205.1</t>
  </si>
  <si>
    <t>MTBCR170001</t>
  </si>
  <si>
    <t>lineage1.1.2.1</t>
  </si>
  <si>
    <t>not published</t>
  </si>
  <si>
    <t>GCF_033126485.1</t>
  </si>
  <si>
    <t>MTBCR170020</t>
  </si>
  <si>
    <t>lineage1.2.2.2</t>
  </si>
  <si>
    <t>GCF_033125685.1</t>
  </si>
  <si>
    <t>TCDC10</t>
  </si>
  <si>
    <t>lineage2</t>
  </si>
  <si>
    <t>Wang - 2020</t>
  </si>
  <si>
    <t>GCF_009833985.1</t>
  </si>
  <si>
    <t>TCDC11</t>
  </si>
  <si>
    <t>GCF_009762675.2</t>
  </si>
  <si>
    <t>TCDC7</t>
  </si>
  <si>
    <t>GCF_009834005.1</t>
  </si>
  <si>
    <t>W-148</t>
  </si>
  <si>
    <t>lineage2.2.1.2</t>
  </si>
  <si>
    <t>GCA_000193185.2</t>
  </si>
  <si>
    <t>tool</t>
  </si>
  <si>
    <t>snpmutator</t>
  </si>
  <si>
    <t>maketube (~600 SNPs)</t>
  </si>
  <si>
    <t>maketube (~ 2500 SNPs)</t>
  </si>
  <si>
    <t>reference</t>
  </si>
  <si>
    <t>H37Rv</t>
  </si>
  <si>
    <t>strain count</t>
  </si>
  <si>
    <t>figure</t>
  </si>
  <si>
    <t>3,4,5</t>
  </si>
  <si>
    <t>snp</t>
  </si>
  <si>
    <t>count</t>
  </si>
  <si>
    <t>378-723</t>
  </si>
  <si>
    <t>1487-3196</t>
  </si>
  <si>
    <t>small indels</t>
  </si>
  <si>
    <t>57-93</t>
  </si>
  <si>
    <t>88-219</t>
  </si>
  <si>
    <t>sizes (bp)</t>
  </si>
  <si>
    <t>1 - 8</t>
  </si>
  <si>
    <t>1 - 10</t>
  </si>
  <si>
    <t>structural_variants</t>
  </si>
  <si>
    <t>no</t>
  </si>
  <si>
    <t>yes</t>
  </si>
  <si>
    <t>inserting_sequences</t>
  </si>
  <si>
    <t>total_sizes (bp)</t>
  </si>
  <si>
    <t>deletion_regions</t>
  </si>
  <si>
    <t>size (bp)</t>
  </si>
  <si>
    <t>318-12252</t>
  </si>
  <si>
    <t>96-19598</t>
  </si>
  <si>
    <t>10570-15634</t>
  </si>
  <si>
    <t>4011-29156</t>
  </si>
  <si>
    <t>ancestral-like_insertions</t>
  </si>
  <si>
    <t>5 - 12</t>
  </si>
  <si>
    <t>1-16</t>
  </si>
  <si>
    <t>280-9890</t>
  </si>
  <si>
    <t>31-19531</t>
  </si>
  <si>
    <t>la longueur totale de ces insertions est élevée, surestimant sans doute la quantité de délétions dans la référence, comme on le voit dans la fig. 3</t>
  </si>
  <si>
    <t>13335-38948</t>
  </si>
  <si>
    <t>16991-40621</t>
  </si>
  <si>
    <t>duplication_regions</t>
  </si>
  <si>
    <t>total_sizes  (bp)</t>
  </si>
  <si>
    <t>similar characteristics were found for genomes evolved from 18b and AF2122/97</t>
  </si>
  <si>
    <t>strain ID</t>
  </si>
  <si>
    <t>antibioresistance</t>
  </si>
  <si>
    <t>ERR4821715</t>
  </si>
  <si>
    <t>lineage1.2.1.2.1</t>
  </si>
  <si>
    <t>SENSITIVE</t>
  </si>
  <si>
    <t>SRR10315492</t>
  </si>
  <si>
    <t>lineage1.2.2.1</t>
  </si>
  <si>
    <t>RR</t>
  </si>
  <si>
    <t>ERR4830745</t>
  </si>
  <si>
    <t>lineage2.2.1</t>
  </si>
  <si>
    <t>MDR</t>
  </si>
  <si>
    <t>SRR10315511</t>
  </si>
  <si>
    <t>SRR10315495</t>
  </si>
  <si>
    <t>lineage2.2.2</t>
  </si>
  <si>
    <t>SRR10315509</t>
  </si>
  <si>
    <t>lineage3</t>
  </si>
  <si>
    <t>lineage3.1.1</t>
  </si>
  <si>
    <t>ERR2513508</t>
  </si>
  <si>
    <t>ERR4830750</t>
  </si>
  <si>
    <t>ERR8774154</t>
  </si>
  <si>
    <t>lineage4.6.2.2</t>
  </si>
  <si>
    <t>ERR234142</t>
  </si>
  <si>
    <t>lineage5.1.1</t>
  </si>
  <si>
    <t>ERR439972</t>
  </si>
  <si>
    <t>lineage6</t>
  </si>
  <si>
    <t>lineage6.1.1</t>
  </si>
  <si>
    <t>ERR1971859</t>
  </si>
  <si>
    <t>lineage7</t>
  </si>
  <si>
    <t>SRR1173284</t>
  </si>
  <si>
    <t>lineage8</t>
  </si>
  <si>
    <t>ERR181314</t>
  </si>
  <si>
    <t>lineage9</t>
  </si>
  <si>
    <t>ERR181315</t>
  </si>
  <si>
    <t>ERR1679654</t>
  </si>
  <si>
    <t>M_bovis</t>
  </si>
  <si>
    <t>ERR6375115</t>
  </si>
  <si>
    <t>M_orygis</t>
  </si>
  <si>
    <t>The size of indels and the parameters of the GTR model (nucleotide abundance, transition, transversion ratio, etc.) were computed on these strains after alignement on H37Rv following the "genotube methodology" given in material and methods
These reads archives were listed by Guyeux et al, 2021.</t>
  </si>
  <si>
    <t>name</t>
  </si>
  <si>
    <t>version</t>
  </si>
  <si>
    <t>type</t>
  </si>
  <si>
    <t>author</t>
  </si>
  <si>
    <t>date</t>
  </si>
  <si>
    <t>doi</t>
  </si>
  <si>
    <t>blast</t>
  </si>
  <si>
    <t>2.8.1</t>
  </si>
  <si>
    <t>compiled</t>
  </si>
  <si>
    <t>Camacho </t>
  </si>
  <si>
    <t>10.1186/1471-2105-10-421</t>
  </si>
  <si>
    <t>jackalope</t>
  </si>
  <si>
    <t>1.1.5</t>
  </si>
  <si>
    <t>R library</t>
  </si>
  <si>
    <t>Nell</t>
  </si>
  <si>
    <t>https://doi.org/10.1111/1755-0998.13173</t>
  </si>
  <si>
    <t>jellyfish</t>
  </si>
  <si>
    <t>2.2.10</t>
  </si>
  <si>
    <t>Marçais</t>
  </si>
  <si>
    <t>https://doi.org/10.1093/bioinformatics/btr011</t>
  </si>
  <si>
    <t>SNP mutator</t>
  </si>
  <si>
    <t>1.2.0</t>
  </si>
  <si>
    <t>Davis</t>
  </si>
  <si>
    <t>https://doi.org/10.7717/peerj-cs.20</t>
  </si>
  <si>
    <t>mummer</t>
  </si>
  <si>
    <t>Kurtz</t>
  </si>
  <si>
    <t>https://doi.org/10.1186/gb-2004-5-2-r12</t>
  </si>
  <si>
    <t>all2vcf</t>
  </si>
  <si>
    <t>0.7.8</t>
  </si>
  <si>
    <t>python</t>
  </si>
  <si>
    <t>Schiavinato</t>
  </si>
  <si>
    <t>https://github.com/MatteoSchiavinato/all2vcf</t>
  </si>
  <si>
    <t>minimap2</t>
  </si>
  <si>
    <t>2.28-r1209</t>
  </si>
  <si>
    <t>Li</t>
  </si>
  <si>
    <t>doi:10.1093/bioinformatics/bty191</t>
  </si>
  <si>
    <t>art</t>
  </si>
  <si>
    <t>2.5.8</t>
  </si>
  <si>
    <t>Huang</t>
  </si>
  <si>
    <t>https://doi.org/10.1093/bioinformatics/btr708</t>
  </si>
  <si>
    <t>bwa-mem2</t>
  </si>
  <si>
    <t>2.2.1</t>
  </si>
  <si>
    <t>Vasimuddin</t>
  </si>
  <si>
    <t>10.1109/IPDPS.2019.00041</t>
  </si>
  <si>
    <t>gatk</t>
  </si>
  <si>
    <t>v4.5.0.0</t>
  </si>
  <si>
    <t>container</t>
  </si>
  <si>
    <t>McKenna</t>
  </si>
  <si>
    <t>10.1101/gr.107524.110.</t>
  </si>
  <si>
    <t>bcftools</t>
  </si>
  <si>
    <t>1.20-46-gec9021d7</t>
  </si>
  <si>
    <t>Danecek</t>
  </si>
  <si>
    <t>https://doi.org/10.1093/gigascience/giab008</t>
  </si>
  <si>
    <t>TBprofiler</t>
  </si>
  <si>
    <t>perl</t>
  </si>
  <si>
    <t>Verboven</t>
  </si>
  <si>
    <t>https://doi.org/10.1371/journal.pone.0293254</t>
  </si>
  <si>
    <t>freebayes</t>
  </si>
  <si>
    <t>1.3.7</t>
  </si>
  <si>
    <t>Garrisson</t>
  </si>
  <si>
    <t>https://doi.org/10.48550/arXiv.1207.3907</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</si>
</sst>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rgb="FF000000"/>
      <name val="Calibri"/>
      <scheme val="minor"/>
    </font>
    <font>
      <b/>
      <sz val="11.0"/>
      <color rgb="FF000000"/>
      <name val="Calibri"/>
    </font>
    <font>
      <sz val="11.0"/>
      <color rgb="FF000000"/>
      <name val="Calibri"/>
    </font>
    <font/>
    <font>
      <color theme="1"/>
      <name val="Calibri"/>
      <scheme val="minor"/>
    </font>
    <font>
      <u/>
      <sz val="11.0"/>
      <color rgb="FF000000"/>
      <name val="Calibri"/>
    </font>
    <font>
      <u/>
      <color rgb="FF0000FF"/>
    </font>
    <font>
      <sz val="10.0"/>
      <color rgb="FF000000"/>
      <name val="Arial"/>
    </font>
  </fonts>
  <fills count="6">
    <fill>
      <patternFill patternType="none"/>
    </fill>
    <fill>
      <patternFill patternType="lightGray"/>
    </fill>
    <fill>
      <patternFill patternType="solid">
        <fgColor rgb="FFFBE5D5"/>
        <bgColor rgb="FFFBE5D5"/>
      </patternFill>
    </fill>
    <fill>
      <patternFill patternType="solid">
        <fgColor rgb="FFDEEBF6"/>
        <bgColor rgb="FFDEEBF6"/>
      </patternFill>
    </fill>
    <fill>
      <patternFill patternType="solid">
        <fgColor rgb="FFBDD7EE"/>
        <bgColor rgb="FFBDD7EE"/>
      </patternFill>
    </fill>
    <fill>
      <patternFill patternType="solid">
        <fgColor rgb="FFB4C6E7"/>
        <bgColor rgb="FFB4C6E7"/>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33">
    <xf borderId="0" fillId="0" fontId="0" numFmtId="0" xfId="0" applyAlignment="1" applyFont="1">
      <alignment readingOrder="0" shrinkToFit="0" vertical="center" wrapText="0"/>
    </xf>
    <xf borderId="0" fillId="0" fontId="1" numFmtId="0" xfId="0" applyAlignment="1" applyFont="1">
      <alignment horizontal="center" vertical="center"/>
    </xf>
    <xf borderId="0" fillId="0" fontId="2" numFmtId="0" xfId="0" applyAlignment="1" applyFont="1">
      <alignment horizontal="center" vertical="center"/>
    </xf>
    <xf borderId="0" fillId="0" fontId="2" numFmtId="0" xfId="0" applyAlignment="1" applyFont="1">
      <alignment horizontal="left" shrinkToFit="0" vertical="center" wrapText="1"/>
    </xf>
    <xf borderId="1" fillId="2" fontId="1" numFmtId="0" xfId="0" applyAlignment="1" applyBorder="1" applyFill="1" applyFont="1">
      <alignment horizontal="center" vertical="center"/>
    </xf>
    <xf borderId="1" fillId="0" fontId="2" numFmtId="0" xfId="0" applyAlignment="1" applyBorder="1" applyFont="1">
      <alignment horizontal="center" vertical="center"/>
    </xf>
    <xf borderId="1" fillId="0" fontId="2" numFmtId="0" xfId="0" applyAlignment="1" applyBorder="1" applyFont="1">
      <alignment horizontal="center" readingOrder="0" vertical="center"/>
    </xf>
    <xf borderId="1" fillId="2" fontId="1" numFmtId="0" xfId="0" applyAlignment="1" applyBorder="1" applyFont="1">
      <alignment horizontal="center" readingOrder="0" vertical="center"/>
    </xf>
    <xf borderId="1" fillId="3" fontId="2" numFmtId="0" xfId="0" applyAlignment="1" applyBorder="1" applyFill="1" applyFont="1">
      <alignment horizontal="center" vertical="center"/>
    </xf>
    <xf borderId="1" fillId="3" fontId="2" numFmtId="0" xfId="0" applyAlignment="1" applyBorder="1" applyFont="1">
      <alignment horizontal="center" readingOrder="0" vertical="center"/>
    </xf>
    <xf borderId="2" fillId="2" fontId="1" numFmtId="0" xfId="0" applyAlignment="1" applyBorder="1" applyFont="1">
      <alignment horizontal="center" readingOrder="0" vertical="center"/>
    </xf>
    <xf borderId="3" fillId="0" fontId="3" numFmtId="0" xfId="0" applyAlignment="1" applyBorder="1" applyFont="1">
      <alignment vertical="center"/>
    </xf>
    <xf borderId="1" fillId="4" fontId="2" numFmtId="0" xfId="0" applyAlignment="1" applyBorder="1" applyFill="1" applyFont="1">
      <alignment horizontal="center" readingOrder="0" vertical="center"/>
    </xf>
    <xf borderId="1" fillId="4" fontId="2" numFmtId="0" xfId="0" applyAlignment="1" applyBorder="1" applyFont="1">
      <alignment horizontal="center" vertical="center"/>
    </xf>
    <xf borderId="1" fillId="4" fontId="2" numFmtId="49" xfId="0" applyAlignment="1" applyBorder="1" applyFont="1" applyNumberFormat="1">
      <alignment horizontal="center" readingOrder="0" vertical="center"/>
    </xf>
    <xf borderId="2" fillId="2" fontId="1" numFmtId="0" xfId="0" applyAlignment="1" applyBorder="1" applyFont="1">
      <alignment horizontal="center" vertical="center"/>
    </xf>
    <xf borderId="1" fillId="3" fontId="2" numFmtId="0" xfId="0" applyAlignment="1" applyBorder="1" applyFont="1">
      <alignment horizontal="center" vertical="center"/>
    </xf>
    <xf borderId="4" fillId="0" fontId="3" numFmtId="0" xfId="0" applyAlignment="1" applyBorder="1" applyFont="1">
      <alignment vertical="center"/>
    </xf>
    <xf borderId="1" fillId="4" fontId="2" numFmtId="0" xfId="0" applyAlignment="1" applyBorder="1" applyFont="1">
      <alignment horizontal="center" vertical="center"/>
    </xf>
    <xf borderId="1" fillId="5" fontId="2" numFmtId="0" xfId="0" applyAlignment="1" applyBorder="1" applyFill="1" applyFont="1">
      <alignment horizontal="center" readingOrder="0" vertical="center"/>
    </xf>
    <xf borderId="1" fillId="5" fontId="2" numFmtId="0" xfId="0" applyAlignment="1" applyBorder="1" applyFont="1">
      <alignment horizontal="center" vertical="center"/>
    </xf>
    <xf borderId="1" fillId="5" fontId="2" numFmtId="0" xfId="0" applyAlignment="1" applyBorder="1" applyFont="1">
      <alignment horizontal="center" vertical="center"/>
    </xf>
    <xf borderId="2" fillId="2" fontId="1" numFmtId="0" xfId="0" applyAlignment="1" applyBorder="1" applyFont="1">
      <alignment horizontal="center" shrinkToFit="0" vertical="center" wrapText="1"/>
    </xf>
    <xf borderId="1" fillId="5" fontId="2" numFmtId="49" xfId="0" applyAlignment="1" applyBorder="1" applyFont="1" applyNumberFormat="1">
      <alignment horizontal="center" readingOrder="0" vertical="center"/>
    </xf>
    <xf borderId="1" fillId="3" fontId="2" numFmtId="49" xfId="0" applyAlignment="1" applyBorder="1" applyFont="1" applyNumberFormat="1">
      <alignment horizontal="center" readingOrder="0" vertical="center"/>
    </xf>
    <xf borderId="0" fillId="0" fontId="4" numFmtId="0" xfId="0" applyAlignment="1" applyFont="1">
      <alignment readingOrder="0" vertical="center"/>
    </xf>
    <xf borderId="0" fillId="0" fontId="1" numFmtId="0" xfId="0" applyAlignment="1" applyFont="1">
      <alignment vertical="center"/>
    </xf>
    <xf borderId="0" fillId="0" fontId="4" numFmtId="0" xfId="0" applyAlignment="1" applyFont="1">
      <alignment vertical="center"/>
    </xf>
    <xf borderId="0" fillId="0" fontId="2" numFmtId="0" xfId="0" applyAlignment="1" applyFont="1">
      <alignment horizontal="center" readingOrder="0" shrinkToFit="0" vertical="center" wrapText="1"/>
    </xf>
    <xf borderId="0" fillId="0" fontId="2" numFmtId="0" xfId="0" applyAlignment="1" applyFont="1">
      <alignment horizontal="left" vertical="top"/>
    </xf>
    <xf borderId="0" fillId="0" fontId="5" numFmtId="0" xfId="0" applyAlignment="1" applyFont="1">
      <alignment horizontal="left" vertical="top"/>
    </xf>
    <xf borderId="0" fillId="0" fontId="6" numFmtId="0" xfId="0" applyAlignment="1" applyFont="1">
      <alignment vertical="center"/>
    </xf>
    <xf borderId="0" fillId="0" fontId="7"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ubmed.ncbi.nlm.nih.gov/?term=Camacho+C&amp;cauthor_id=20003500" TargetMode="External"/><Relationship Id="rId2" Type="http://schemas.openxmlformats.org/officeDocument/2006/relationships/hyperlink" Target="https://doi.org/10.1186/1471-2105-10-421" TargetMode="External"/><Relationship Id="rId3" Type="http://schemas.openxmlformats.org/officeDocument/2006/relationships/hyperlink" Target="https://doi.org/10.1111/1755-0998.13173" TargetMode="External"/><Relationship Id="rId4" Type="http://schemas.openxmlformats.org/officeDocument/2006/relationships/hyperlink" Target="https://doi.org/10.1093/bioinformatics/btr011" TargetMode="External"/><Relationship Id="rId11" Type="http://schemas.openxmlformats.org/officeDocument/2006/relationships/drawing" Target="../drawings/drawing4.xml"/><Relationship Id="rId10" Type="http://schemas.openxmlformats.org/officeDocument/2006/relationships/hyperlink" Target="https://doi.org/10.1371/journal.pone.0293254" TargetMode="External"/><Relationship Id="rId9" Type="http://schemas.openxmlformats.org/officeDocument/2006/relationships/hyperlink" Target="https://doi.org/10.1093/gigascience/giab008" TargetMode="External"/><Relationship Id="rId5" Type="http://schemas.openxmlformats.org/officeDocument/2006/relationships/hyperlink" Target="https://doi.org/10.7717/peerj-cs.20" TargetMode="External"/><Relationship Id="rId6" Type="http://schemas.openxmlformats.org/officeDocument/2006/relationships/hyperlink" Target="https://doi.org/10.1093/bioinformatics/bty191" TargetMode="External"/><Relationship Id="rId7" Type="http://schemas.openxmlformats.org/officeDocument/2006/relationships/hyperlink" Target="https://doi.org/10.1093/bioinformatics/btr708" TargetMode="External"/><Relationship Id="rId8" Type="http://schemas.openxmlformats.org/officeDocument/2006/relationships/hyperlink" Target="http://dx.doi.org/10.1101/gr.107524.11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8.29"/>
    <col customWidth="1" min="3" max="3" width="8.86"/>
    <col customWidth="1" min="4" max="4" width="10.29"/>
    <col customWidth="1" min="5" max="5" width="16.29"/>
    <col customWidth="1" min="6" max="6" width="18.0"/>
    <col customWidth="1" min="7" max="7" width="21.0"/>
    <col customWidth="1" min="8" max="8" width="26.43"/>
    <col customWidth="1" min="9" max="9" width="20.43"/>
    <col customWidth="1" min="10" max="10" width="15.57"/>
    <col customWidth="1" min="11" max="11" width="38.29"/>
    <col customWidth="1" min="12" max="26" width="9.0"/>
  </cols>
  <sheetData>
    <row r="1">
      <c r="A1" s="1" t="s">
        <v>0</v>
      </c>
      <c r="B1" s="1" t="s">
        <v>1</v>
      </c>
      <c r="C1" s="1" t="s">
        <v>2</v>
      </c>
      <c r="D1" s="1" t="s">
        <v>3</v>
      </c>
      <c r="E1" s="1" t="s">
        <v>4</v>
      </c>
      <c r="F1" s="1" t="s">
        <v>5</v>
      </c>
      <c r="G1" s="1" t="s">
        <v>6</v>
      </c>
      <c r="H1" s="1" t="s">
        <v>7</v>
      </c>
      <c r="I1" s="1" t="s">
        <v>8</v>
      </c>
      <c r="J1" s="2"/>
    </row>
    <row r="2">
      <c r="A2" s="2" t="s">
        <v>9</v>
      </c>
      <c r="B2" s="2">
        <v>1.0</v>
      </c>
      <c r="C2" s="2">
        <v>2.0</v>
      </c>
      <c r="D2" s="2" t="s">
        <v>10</v>
      </c>
      <c r="E2" s="2" t="s">
        <v>10</v>
      </c>
      <c r="F2" s="2" t="s">
        <v>11</v>
      </c>
      <c r="G2" s="2" t="s">
        <v>12</v>
      </c>
      <c r="H2" s="2" t="s">
        <v>13</v>
      </c>
      <c r="I2" s="2" t="s">
        <v>14</v>
      </c>
    </row>
    <row r="3">
      <c r="A3" s="2" t="s">
        <v>15</v>
      </c>
      <c r="B3" s="2">
        <v>1.0</v>
      </c>
      <c r="C3" s="2">
        <v>2.0</v>
      </c>
      <c r="D3" s="2" t="s">
        <v>10</v>
      </c>
      <c r="E3" s="2" t="s">
        <v>16</v>
      </c>
      <c r="F3" s="2" t="s">
        <v>11</v>
      </c>
      <c r="G3" s="2" t="s">
        <v>17</v>
      </c>
      <c r="H3" s="2" t="s">
        <v>13</v>
      </c>
      <c r="I3" s="2" t="s">
        <v>14</v>
      </c>
    </row>
    <row r="4">
      <c r="A4" s="2" t="s">
        <v>18</v>
      </c>
      <c r="B4" s="2">
        <v>1.0</v>
      </c>
      <c r="C4" s="2">
        <v>2.0</v>
      </c>
      <c r="D4" s="2" t="s">
        <v>10</v>
      </c>
      <c r="E4" s="2" t="s">
        <v>19</v>
      </c>
      <c r="F4" s="2" t="s">
        <v>11</v>
      </c>
      <c r="G4" s="2" t="s">
        <v>20</v>
      </c>
      <c r="H4" s="2" t="s">
        <v>13</v>
      </c>
      <c r="I4" s="2" t="s">
        <v>14</v>
      </c>
    </row>
    <row r="5">
      <c r="A5" s="2" t="s">
        <v>21</v>
      </c>
      <c r="B5" s="2">
        <v>1.0</v>
      </c>
      <c r="C5" s="2">
        <v>2.0</v>
      </c>
      <c r="D5" s="2" t="s">
        <v>10</v>
      </c>
      <c r="E5" s="2" t="s">
        <v>22</v>
      </c>
      <c r="F5" s="2" t="s">
        <v>11</v>
      </c>
      <c r="G5" s="2" t="s">
        <v>23</v>
      </c>
      <c r="H5" s="2" t="s">
        <v>13</v>
      </c>
      <c r="I5" s="2" t="s">
        <v>14</v>
      </c>
    </row>
    <row r="6">
      <c r="A6" s="2" t="s">
        <v>24</v>
      </c>
      <c r="B6" s="2">
        <v>1.0</v>
      </c>
      <c r="C6" s="2">
        <v>2.0</v>
      </c>
      <c r="D6" s="2" t="s">
        <v>10</v>
      </c>
      <c r="E6" s="2" t="s">
        <v>19</v>
      </c>
      <c r="F6" s="2" t="s">
        <v>11</v>
      </c>
      <c r="G6" s="2" t="s">
        <v>25</v>
      </c>
      <c r="H6" s="2" t="s">
        <v>13</v>
      </c>
      <c r="I6" s="2" t="s">
        <v>14</v>
      </c>
    </row>
    <row r="7">
      <c r="A7" s="2" t="s">
        <v>26</v>
      </c>
      <c r="B7" s="2">
        <v>1.0</v>
      </c>
      <c r="C7" s="2">
        <v>2.0</v>
      </c>
      <c r="D7" s="2" t="s">
        <v>10</v>
      </c>
      <c r="E7" s="2" t="s">
        <v>27</v>
      </c>
      <c r="F7" s="2" t="s">
        <v>11</v>
      </c>
      <c r="G7" s="2" t="s">
        <v>28</v>
      </c>
      <c r="H7" s="2" t="s">
        <v>13</v>
      </c>
      <c r="I7" s="2" t="s">
        <v>14</v>
      </c>
    </row>
    <row r="8">
      <c r="A8" s="2" t="s">
        <v>29</v>
      </c>
      <c r="B8" s="2">
        <v>1.0</v>
      </c>
      <c r="C8" s="2">
        <v>2.0</v>
      </c>
      <c r="D8" s="2" t="s">
        <v>30</v>
      </c>
      <c r="E8" s="2" t="s">
        <v>31</v>
      </c>
      <c r="F8" s="2" t="s">
        <v>32</v>
      </c>
      <c r="G8" s="2" t="s">
        <v>33</v>
      </c>
      <c r="H8" s="2" t="s">
        <v>34</v>
      </c>
      <c r="I8" s="2" t="s">
        <v>14</v>
      </c>
    </row>
    <row r="9">
      <c r="A9" s="2" t="s">
        <v>35</v>
      </c>
      <c r="B9" s="2">
        <v>1.0</v>
      </c>
      <c r="C9" s="2">
        <v>2.0</v>
      </c>
      <c r="D9" s="2" t="s">
        <v>10</v>
      </c>
      <c r="E9" s="2" t="s">
        <v>36</v>
      </c>
      <c r="F9" s="2" t="s">
        <v>32</v>
      </c>
      <c r="G9" s="2" t="s">
        <v>37</v>
      </c>
      <c r="H9" s="2" t="s">
        <v>34</v>
      </c>
      <c r="I9" s="2" t="s">
        <v>14</v>
      </c>
    </row>
    <row r="10">
      <c r="A10" s="2" t="s">
        <v>38</v>
      </c>
      <c r="B10" s="2">
        <v>1.0</v>
      </c>
      <c r="C10" s="2">
        <v>2.0</v>
      </c>
      <c r="D10" s="2" t="s">
        <v>10</v>
      </c>
      <c r="E10" s="2" t="s">
        <v>19</v>
      </c>
      <c r="F10" s="2" t="s">
        <v>32</v>
      </c>
      <c r="G10" s="2" t="s">
        <v>39</v>
      </c>
      <c r="H10" s="2" t="s">
        <v>34</v>
      </c>
      <c r="I10" s="2" t="s">
        <v>14</v>
      </c>
    </row>
    <row r="11">
      <c r="A11" s="2" t="s">
        <v>40</v>
      </c>
      <c r="B11" s="2">
        <v>1.0</v>
      </c>
      <c r="C11" s="2">
        <v>2.0</v>
      </c>
      <c r="D11" s="2" t="s">
        <v>10</v>
      </c>
      <c r="E11" s="2" t="s">
        <v>41</v>
      </c>
      <c r="F11" s="2" t="s">
        <v>32</v>
      </c>
      <c r="G11" s="2" t="s">
        <v>42</v>
      </c>
      <c r="H11" s="2" t="s">
        <v>34</v>
      </c>
      <c r="I11" s="2" t="s">
        <v>14</v>
      </c>
    </row>
    <row r="12">
      <c r="A12" s="2" t="s">
        <v>43</v>
      </c>
      <c r="B12" s="2">
        <v>1.0</v>
      </c>
      <c r="C12" s="2">
        <v>2.0</v>
      </c>
      <c r="D12" s="2" t="s">
        <v>44</v>
      </c>
      <c r="E12" s="2" t="s">
        <v>45</v>
      </c>
      <c r="F12" s="2" t="s">
        <v>46</v>
      </c>
      <c r="G12" s="2" t="s">
        <v>47</v>
      </c>
      <c r="H12" s="2" t="s">
        <v>13</v>
      </c>
      <c r="I12" s="2" t="s">
        <v>14</v>
      </c>
    </row>
    <row r="13">
      <c r="A13" s="2" t="s">
        <v>48</v>
      </c>
      <c r="B13" s="2">
        <v>1.0</v>
      </c>
      <c r="C13" s="2">
        <v>2.0</v>
      </c>
      <c r="D13" s="2" t="s">
        <v>49</v>
      </c>
      <c r="E13" s="2" t="s">
        <v>45</v>
      </c>
      <c r="F13" s="2" t="s">
        <v>50</v>
      </c>
      <c r="G13" s="2" t="s">
        <v>51</v>
      </c>
      <c r="H13" s="2" t="s">
        <v>52</v>
      </c>
      <c r="I13" s="2" t="s">
        <v>14</v>
      </c>
    </row>
    <row r="14">
      <c r="A14" s="2" t="s">
        <v>53</v>
      </c>
      <c r="B14" s="2">
        <v>1.0</v>
      </c>
      <c r="C14" s="2">
        <v>2.0</v>
      </c>
      <c r="D14" s="2" t="s">
        <v>10</v>
      </c>
      <c r="E14" s="2" t="s">
        <v>22</v>
      </c>
      <c r="F14" s="2" t="s">
        <v>11</v>
      </c>
      <c r="G14" s="2" t="s">
        <v>54</v>
      </c>
      <c r="H14" s="2" t="s">
        <v>13</v>
      </c>
      <c r="I14" s="2" t="s">
        <v>14</v>
      </c>
      <c r="K14" s="3"/>
    </row>
    <row r="15">
      <c r="A15" s="2" t="s">
        <v>55</v>
      </c>
      <c r="B15" s="2">
        <v>1.0</v>
      </c>
      <c r="C15" s="2">
        <v>2.0</v>
      </c>
      <c r="D15" s="2" t="s">
        <v>10</v>
      </c>
      <c r="E15" s="2" t="s">
        <v>16</v>
      </c>
      <c r="F15" s="2" t="s">
        <v>11</v>
      </c>
      <c r="G15" s="2" t="s">
        <v>56</v>
      </c>
      <c r="H15" s="2" t="s">
        <v>13</v>
      </c>
      <c r="I15" s="2" t="s">
        <v>14</v>
      </c>
    </row>
    <row r="16">
      <c r="A16" s="2" t="s">
        <v>57</v>
      </c>
      <c r="B16" s="2">
        <v>1.0</v>
      </c>
      <c r="C16" s="2">
        <v>2.0</v>
      </c>
      <c r="D16" s="2" t="s">
        <v>10</v>
      </c>
      <c r="E16" s="2" t="s">
        <v>19</v>
      </c>
      <c r="F16" s="2" t="s">
        <v>11</v>
      </c>
      <c r="G16" s="2" t="s">
        <v>58</v>
      </c>
      <c r="H16" s="2" t="s">
        <v>13</v>
      </c>
      <c r="I16" s="2" t="s">
        <v>14</v>
      </c>
    </row>
    <row r="17">
      <c r="A17" s="2" t="s">
        <v>59</v>
      </c>
      <c r="B17" s="2">
        <v>1.0</v>
      </c>
      <c r="C17" s="2">
        <v>2.0</v>
      </c>
      <c r="D17" s="2" t="s">
        <v>10</v>
      </c>
      <c r="E17" s="2" t="s">
        <v>60</v>
      </c>
      <c r="F17" s="2" t="s">
        <v>11</v>
      </c>
      <c r="G17" s="2" t="s">
        <v>61</v>
      </c>
      <c r="H17" s="2" t="s">
        <v>13</v>
      </c>
      <c r="I17" s="2" t="s">
        <v>14</v>
      </c>
    </row>
    <row r="18">
      <c r="A18" s="2" t="s">
        <v>62</v>
      </c>
      <c r="B18" s="2">
        <v>1.0</v>
      </c>
      <c r="C18" s="2">
        <v>2.0</v>
      </c>
      <c r="D18" s="2" t="s">
        <v>10</v>
      </c>
      <c r="E18" s="2" t="s">
        <v>63</v>
      </c>
      <c r="F18" s="2" t="s">
        <v>11</v>
      </c>
      <c r="G18" s="2" t="s">
        <v>64</v>
      </c>
      <c r="H18" s="2" t="s">
        <v>13</v>
      </c>
      <c r="I18" s="2" t="s">
        <v>14</v>
      </c>
    </row>
    <row r="19">
      <c r="A19" s="2" t="s">
        <v>65</v>
      </c>
      <c r="B19" s="2">
        <v>1.0</v>
      </c>
      <c r="C19" s="2">
        <v>2.0</v>
      </c>
      <c r="D19" s="2" t="s">
        <v>10</v>
      </c>
      <c r="E19" s="2" t="s">
        <v>66</v>
      </c>
      <c r="F19" s="2" t="s">
        <v>11</v>
      </c>
      <c r="G19" s="2" t="s">
        <v>67</v>
      </c>
      <c r="H19" s="2" t="s">
        <v>13</v>
      </c>
      <c r="I19" s="2" t="s">
        <v>14</v>
      </c>
    </row>
    <row r="20">
      <c r="A20" s="2" t="s">
        <v>68</v>
      </c>
      <c r="B20" s="2">
        <v>1.0</v>
      </c>
      <c r="C20" s="2">
        <v>2.0</v>
      </c>
      <c r="D20" s="2" t="s">
        <v>44</v>
      </c>
      <c r="E20" s="2" t="s">
        <v>69</v>
      </c>
      <c r="F20" s="2" t="s">
        <v>70</v>
      </c>
      <c r="G20" s="2" t="s">
        <v>71</v>
      </c>
      <c r="H20" s="2" t="s">
        <v>13</v>
      </c>
      <c r="I20" s="2" t="s">
        <v>14</v>
      </c>
    </row>
    <row r="21" ht="15.75" customHeight="1">
      <c r="A21" s="2" t="s">
        <v>72</v>
      </c>
      <c r="B21" s="2">
        <v>1.0</v>
      </c>
      <c r="C21" s="2">
        <v>2.0</v>
      </c>
      <c r="D21" s="2" t="s">
        <v>44</v>
      </c>
      <c r="E21" s="2" t="s">
        <v>73</v>
      </c>
      <c r="F21" s="2" t="s">
        <v>70</v>
      </c>
      <c r="G21" s="2" t="s">
        <v>74</v>
      </c>
      <c r="H21" s="2" t="s">
        <v>13</v>
      </c>
      <c r="I21" s="2" t="s">
        <v>14</v>
      </c>
    </row>
    <row r="22" ht="15.75" customHeight="1">
      <c r="A22" s="2" t="s">
        <v>75</v>
      </c>
      <c r="B22" s="2">
        <v>1.0</v>
      </c>
      <c r="C22" s="2">
        <v>2.0</v>
      </c>
      <c r="D22" s="2" t="s">
        <v>76</v>
      </c>
      <c r="E22" s="2" t="s">
        <v>45</v>
      </c>
      <c r="F22" s="2" t="s">
        <v>77</v>
      </c>
      <c r="G22" s="2" t="s">
        <v>78</v>
      </c>
      <c r="H22" s="2" t="s">
        <v>13</v>
      </c>
      <c r="I22" s="2" t="s">
        <v>14</v>
      </c>
    </row>
    <row r="23" ht="15.75" customHeight="1">
      <c r="A23" s="2" t="s">
        <v>79</v>
      </c>
      <c r="B23" s="2">
        <v>1.0</v>
      </c>
      <c r="C23" s="2">
        <v>2.0</v>
      </c>
      <c r="D23" s="2" t="s">
        <v>76</v>
      </c>
      <c r="E23" s="2" t="s">
        <v>45</v>
      </c>
      <c r="F23" s="2" t="s">
        <v>77</v>
      </c>
      <c r="G23" s="2" t="s">
        <v>80</v>
      </c>
      <c r="H23" s="2" t="s">
        <v>13</v>
      </c>
      <c r="I23" s="2" t="s">
        <v>14</v>
      </c>
    </row>
    <row r="24" ht="15.75" customHeight="1">
      <c r="A24" s="2" t="s">
        <v>81</v>
      </c>
      <c r="B24" s="2">
        <v>1.0</v>
      </c>
      <c r="C24" s="2">
        <v>2.0</v>
      </c>
      <c r="D24" s="2" t="s">
        <v>76</v>
      </c>
      <c r="E24" s="2" t="s">
        <v>45</v>
      </c>
      <c r="F24" s="2" t="s">
        <v>77</v>
      </c>
      <c r="G24" s="2" t="s">
        <v>82</v>
      </c>
      <c r="H24" s="2" t="s">
        <v>13</v>
      </c>
      <c r="I24" s="2" t="s">
        <v>14</v>
      </c>
    </row>
    <row r="25" ht="15.75" customHeight="1">
      <c r="A25" s="2" t="s">
        <v>83</v>
      </c>
      <c r="B25" s="2">
        <v>1.0</v>
      </c>
      <c r="C25" s="2">
        <v>2.0</v>
      </c>
      <c r="D25" s="2" t="s">
        <v>76</v>
      </c>
      <c r="E25" s="2" t="s">
        <v>84</v>
      </c>
      <c r="F25" s="2" t="s">
        <v>32</v>
      </c>
      <c r="G25" s="2" t="s">
        <v>85</v>
      </c>
      <c r="H25" s="2" t="s">
        <v>34</v>
      </c>
      <c r="I25" s="2" t="s">
        <v>14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7.86"/>
    <col customWidth="1" min="3" max="3" width="13.43"/>
    <col customWidth="1" min="4" max="4" width="21.14"/>
    <col customWidth="1" min="5" max="5" width="27.0"/>
    <col customWidth="1" min="6" max="6" width="19.14"/>
    <col customWidth="1" min="7" max="7" width="6.43"/>
    <col customWidth="1" min="8" max="8" width="23.57"/>
    <col customWidth="1" min="9" max="9" width="25.14"/>
    <col customWidth="1" min="10" max="10" width="6.43"/>
    <col customWidth="1" min="11" max="11" width="12.43"/>
    <col customWidth="1" min="12" max="12" width="20.71"/>
    <col customWidth="1" min="13" max="13" width="11.14"/>
    <col customWidth="1" min="14" max="14" width="14.0"/>
    <col customWidth="1" min="15" max="15" width="20.14"/>
    <col customWidth="1" min="16" max="16" width="11.14"/>
    <col customWidth="1" min="17" max="17" width="15.29"/>
    <col customWidth="1" min="18" max="18" width="24.57"/>
    <col customWidth="1" min="19" max="19" width="9.14"/>
    <col customWidth="1" min="20" max="20" width="12.43"/>
    <col customWidth="1" min="21" max="25" width="9.0"/>
  </cols>
  <sheetData>
    <row r="1">
      <c r="A1" s="4" t="s">
        <v>86</v>
      </c>
      <c r="B1" s="5"/>
      <c r="C1" s="6" t="s">
        <v>87</v>
      </c>
      <c r="D1" s="6" t="s">
        <v>88</v>
      </c>
      <c r="E1" s="6" t="s">
        <v>89</v>
      </c>
    </row>
    <row r="2">
      <c r="A2" s="7" t="s">
        <v>90</v>
      </c>
      <c r="B2" s="5"/>
      <c r="C2" s="6" t="s">
        <v>91</v>
      </c>
      <c r="D2" s="6" t="s">
        <v>91</v>
      </c>
      <c r="E2" s="6" t="s">
        <v>91</v>
      </c>
    </row>
    <row r="3">
      <c r="A3" s="7" t="s">
        <v>92</v>
      </c>
      <c r="B3" s="5"/>
      <c r="C3" s="5">
        <v>30.0</v>
      </c>
      <c r="D3" s="6">
        <v>30.0</v>
      </c>
      <c r="E3" s="5">
        <v>200.0</v>
      </c>
    </row>
    <row r="4">
      <c r="A4" s="4" t="s">
        <v>93</v>
      </c>
      <c r="B4" s="5"/>
      <c r="C4" s="5" t="s">
        <v>94</v>
      </c>
      <c r="D4" s="5" t="s">
        <v>94</v>
      </c>
      <c r="E4" s="6">
        <v>6.0</v>
      </c>
    </row>
    <row r="5">
      <c r="A5" s="4" t="s">
        <v>95</v>
      </c>
      <c r="B5" s="8" t="s">
        <v>96</v>
      </c>
      <c r="C5" s="8">
        <v>800.0</v>
      </c>
      <c r="D5" s="9" t="s">
        <v>97</v>
      </c>
      <c r="E5" s="9" t="s">
        <v>98</v>
      </c>
    </row>
    <row r="6">
      <c r="A6" s="10" t="s">
        <v>99</v>
      </c>
      <c r="B6" s="8" t="s">
        <v>96</v>
      </c>
      <c r="C6" s="9">
        <v>100.0</v>
      </c>
      <c r="D6" s="9" t="s">
        <v>100</v>
      </c>
      <c r="E6" s="9" t="s">
        <v>101</v>
      </c>
    </row>
    <row r="7">
      <c r="A7" s="11"/>
      <c r="B7" s="12" t="s">
        <v>102</v>
      </c>
      <c r="C7" s="13">
        <v>1.0</v>
      </c>
      <c r="D7" s="14" t="s">
        <v>103</v>
      </c>
      <c r="E7" s="14" t="s">
        <v>104</v>
      </c>
    </row>
    <row r="8">
      <c r="A8" s="4" t="s">
        <v>105</v>
      </c>
      <c r="B8" s="5"/>
      <c r="C8" s="5" t="s">
        <v>106</v>
      </c>
      <c r="D8" s="5" t="s">
        <v>107</v>
      </c>
      <c r="E8" s="5" t="s">
        <v>107</v>
      </c>
    </row>
    <row r="9">
      <c r="A9" s="15" t="s">
        <v>108</v>
      </c>
      <c r="B9" s="8" t="s">
        <v>96</v>
      </c>
      <c r="C9" s="9" t="s">
        <v>45</v>
      </c>
      <c r="D9" s="16">
        <v>16.0</v>
      </c>
      <c r="E9" s="8">
        <v>16.0</v>
      </c>
    </row>
    <row r="10">
      <c r="A10" s="17"/>
      <c r="B10" s="12" t="s">
        <v>102</v>
      </c>
      <c r="C10" s="12" t="s">
        <v>45</v>
      </c>
      <c r="D10" s="18">
        <v>1261.0</v>
      </c>
      <c r="E10" s="13">
        <v>1261.0</v>
      </c>
    </row>
    <row r="11">
      <c r="A11" s="11"/>
      <c r="B11" s="19" t="s">
        <v>109</v>
      </c>
      <c r="C11" s="19" t="s">
        <v>45</v>
      </c>
      <c r="D11" s="20">
        <v>20176.0</v>
      </c>
      <c r="E11" s="21">
        <f>16*E10</f>
        <v>20176</v>
      </c>
    </row>
    <row r="12">
      <c r="A12" s="22" t="s">
        <v>110</v>
      </c>
      <c r="B12" s="8" t="s">
        <v>96</v>
      </c>
      <c r="C12" s="9" t="s">
        <v>45</v>
      </c>
      <c r="D12" s="9">
        <v>3.0</v>
      </c>
      <c r="E12" s="8">
        <v>3.0</v>
      </c>
    </row>
    <row r="13">
      <c r="A13" s="17"/>
      <c r="B13" s="12" t="s">
        <v>111</v>
      </c>
      <c r="C13" s="12" t="s">
        <v>45</v>
      </c>
      <c r="D13" s="12" t="s">
        <v>112</v>
      </c>
      <c r="E13" s="12" t="s">
        <v>113</v>
      </c>
    </row>
    <row r="14">
      <c r="A14" s="11"/>
      <c r="B14" s="19" t="s">
        <v>109</v>
      </c>
      <c r="C14" s="23" t="s">
        <v>45</v>
      </c>
      <c r="D14" s="23" t="s">
        <v>114</v>
      </c>
      <c r="E14" s="19" t="s">
        <v>115</v>
      </c>
    </row>
    <row r="15">
      <c r="A15" s="10" t="s">
        <v>116</v>
      </c>
      <c r="B15" s="8" t="s">
        <v>96</v>
      </c>
      <c r="C15" s="24" t="s">
        <v>45</v>
      </c>
      <c r="D15" s="24" t="s">
        <v>117</v>
      </c>
      <c r="E15" s="24" t="s">
        <v>118</v>
      </c>
    </row>
    <row r="16">
      <c r="A16" s="17"/>
      <c r="B16" s="12" t="s">
        <v>111</v>
      </c>
      <c r="C16" s="12" t="s">
        <v>45</v>
      </c>
      <c r="D16" s="12" t="s">
        <v>119</v>
      </c>
      <c r="E16" s="12" t="s">
        <v>120</v>
      </c>
      <c r="F16" s="25" t="s">
        <v>121</v>
      </c>
    </row>
    <row r="17">
      <c r="A17" s="11"/>
      <c r="B17" s="19" t="s">
        <v>109</v>
      </c>
      <c r="C17" s="19" t="s">
        <v>45</v>
      </c>
      <c r="D17" s="19" t="s">
        <v>122</v>
      </c>
      <c r="E17" s="19" t="s">
        <v>123</v>
      </c>
    </row>
    <row r="18">
      <c r="A18" s="15" t="s">
        <v>124</v>
      </c>
      <c r="B18" s="8" t="s">
        <v>96</v>
      </c>
      <c r="C18" s="9" t="s">
        <v>45</v>
      </c>
      <c r="D18" s="8">
        <v>1.0</v>
      </c>
      <c r="E18" s="8">
        <v>1.0</v>
      </c>
    </row>
    <row r="19">
      <c r="A19" s="17"/>
      <c r="B19" s="12" t="s">
        <v>102</v>
      </c>
      <c r="C19" s="12" t="s">
        <v>45</v>
      </c>
      <c r="D19" s="13">
        <v>150000.0</v>
      </c>
      <c r="E19" s="13">
        <v>150000.0</v>
      </c>
    </row>
    <row r="20" ht="15.75" customHeight="1">
      <c r="A20" s="11"/>
      <c r="B20" s="19" t="s">
        <v>125</v>
      </c>
      <c r="C20" s="19" t="s">
        <v>45</v>
      </c>
      <c r="D20" s="21">
        <v>150000.0</v>
      </c>
      <c r="E20" s="21">
        <v>150000.0</v>
      </c>
    </row>
    <row r="21" ht="15.75" customHeight="1">
      <c r="A21" s="25" t="s">
        <v>126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
    <mergeCell ref="A6:A7"/>
    <mergeCell ref="A9:A11"/>
    <mergeCell ref="A12:A14"/>
    <mergeCell ref="A15:A17"/>
    <mergeCell ref="A18:A20"/>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8.43"/>
    <col customWidth="1" min="3" max="3" width="14.0"/>
    <col customWidth="1" min="4" max="4" width="15.29"/>
    <col customWidth="1" min="5" max="26" width="9.0"/>
  </cols>
  <sheetData>
    <row r="1">
      <c r="A1" s="26" t="s">
        <v>127</v>
      </c>
      <c r="B1" s="26" t="s">
        <v>3</v>
      </c>
      <c r="C1" s="26" t="s">
        <v>4</v>
      </c>
      <c r="D1" s="26" t="s">
        <v>128</v>
      </c>
    </row>
    <row r="2">
      <c r="A2" s="27" t="s">
        <v>129</v>
      </c>
      <c r="B2" s="27" t="s">
        <v>44</v>
      </c>
      <c r="C2" s="27" t="s">
        <v>130</v>
      </c>
      <c r="D2" s="27" t="s">
        <v>131</v>
      </c>
    </row>
    <row r="3">
      <c r="A3" s="27" t="s">
        <v>132</v>
      </c>
      <c r="B3" s="27" t="s">
        <v>44</v>
      </c>
      <c r="C3" s="27" t="s">
        <v>133</v>
      </c>
      <c r="D3" s="27" t="s">
        <v>134</v>
      </c>
    </row>
    <row r="4">
      <c r="A4" s="27" t="s">
        <v>135</v>
      </c>
      <c r="B4" s="27" t="s">
        <v>76</v>
      </c>
      <c r="C4" s="27" t="s">
        <v>136</v>
      </c>
      <c r="D4" s="27" t="s">
        <v>137</v>
      </c>
    </row>
    <row r="5">
      <c r="A5" s="27" t="s">
        <v>138</v>
      </c>
      <c r="B5" s="27" t="s">
        <v>76</v>
      </c>
      <c r="C5" s="27" t="s">
        <v>136</v>
      </c>
      <c r="D5" s="27" t="s">
        <v>131</v>
      </c>
    </row>
    <row r="6">
      <c r="A6" s="27" t="s">
        <v>139</v>
      </c>
      <c r="B6" s="27" t="s">
        <v>76</v>
      </c>
      <c r="C6" s="27" t="s">
        <v>140</v>
      </c>
      <c r="D6" s="27" t="s">
        <v>137</v>
      </c>
    </row>
    <row r="7">
      <c r="A7" s="27" t="s">
        <v>141</v>
      </c>
      <c r="B7" s="27" t="s">
        <v>142</v>
      </c>
      <c r="C7" s="27" t="s">
        <v>143</v>
      </c>
      <c r="D7" s="27" t="s">
        <v>137</v>
      </c>
    </row>
    <row r="8">
      <c r="A8" s="27" t="s">
        <v>144</v>
      </c>
      <c r="B8" s="27" t="s">
        <v>142</v>
      </c>
      <c r="C8" s="27" t="s">
        <v>142</v>
      </c>
      <c r="D8" s="27" t="s">
        <v>131</v>
      </c>
    </row>
    <row r="9">
      <c r="A9" s="27" t="s">
        <v>145</v>
      </c>
      <c r="B9" s="27" t="s">
        <v>10</v>
      </c>
      <c r="C9" s="27" t="s">
        <v>63</v>
      </c>
      <c r="D9" s="27" t="s">
        <v>131</v>
      </c>
    </row>
    <row r="10">
      <c r="A10" s="27" t="s">
        <v>146</v>
      </c>
      <c r="B10" s="27" t="s">
        <v>10</v>
      </c>
      <c r="C10" s="27" t="s">
        <v>147</v>
      </c>
      <c r="D10" s="27" t="s">
        <v>131</v>
      </c>
    </row>
    <row r="11">
      <c r="A11" s="27" t="s">
        <v>148</v>
      </c>
      <c r="B11" s="27" t="s">
        <v>49</v>
      </c>
      <c r="C11" s="27" t="s">
        <v>149</v>
      </c>
      <c r="D11" s="27" t="s">
        <v>131</v>
      </c>
    </row>
    <row r="12">
      <c r="A12" s="27" t="s">
        <v>150</v>
      </c>
      <c r="B12" s="27" t="s">
        <v>151</v>
      </c>
      <c r="C12" s="27" t="s">
        <v>152</v>
      </c>
      <c r="D12" s="27" t="s">
        <v>137</v>
      </c>
    </row>
    <row r="13">
      <c r="A13" s="27" t="s">
        <v>153</v>
      </c>
      <c r="B13" s="27" t="s">
        <v>154</v>
      </c>
      <c r="C13" s="27" t="s">
        <v>154</v>
      </c>
      <c r="D13" s="27" t="s">
        <v>131</v>
      </c>
    </row>
    <row r="14">
      <c r="A14" s="27" t="s">
        <v>155</v>
      </c>
      <c r="B14" s="27" t="s">
        <v>156</v>
      </c>
      <c r="C14" s="27" t="s">
        <v>156</v>
      </c>
      <c r="D14" s="27" t="s">
        <v>137</v>
      </c>
    </row>
    <row r="15">
      <c r="A15" s="27" t="s">
        <v>157</v>
      </c>
      <c r="B15" s="27" t="s">
        <v>158</v>
      </c>
      <c r="C15" s="27" t="s">
        <v>158</v>
      </c>
      <c r="D15" s="27" t="s">
        <v>131</v>
      </c>
    </row>
    <row r="16">
      <c r="A16" s="27" t="s">
        <v>159</v>
      </c>
      <c r="B16" s="27" t="s">
        <v>158</v>
      </c>
      <c r="C16" s="27" t="s">
        <v>158</v>
      </c>
      <c r="D16" s="27" t="s">
        <v>131</v>
      </c>
    </row>
    <row r="17">
      <c r="A17" s="27" t="s">
        <v>160</v>
      </c>
      <c r="B17" s="27" t="s">
        <v>161</v>
      </c>
      <c r="C17" s="27" t="s">
        <v>161</v>
      </c>
      <c r="D17" s="27" t="s">
        <v>131</v>
      </c>
    </row>
    <row r="18">
      <c r="A18" s="27" t="s">
        <v>162</v>
      </c>
      <c r="B18" s="27" t="s">
        <v>163</v>
      </c>
      <c r="C18" s="27" t="s">
        <v>163</v>
      </c>
      <c r="D18" s="27" t="s">
        <v>131</v>
      </c>
    </row>
    <row r="21" ht="15.75" customHeight="1">
      <c r="A21" s="28" t="s">
        <v>164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1:D25"/>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11.43"/>
    <col customWidth="1" min="3" max="3" width="7.43"/>
    <col customWidth="1" min="4" max="4" width="12.14"/>
    <col customWidth="1" min="5" max="5" width="5.43"/>
    <col customWidth="1" min="6" max="6" width="39.43"/>
    <col customWidth="1" min="7" max="26" width="9.0"/>
  </cols>
  <sheetData>
    <row r="1">
      <c r="A1" s="29" t="s">
        <v>165</v>
      </c>
      <c r="B1" s="29" t="s">
        <v>166</v>
      </c>
      <c r="C1" s="29" t="s">
        <v>167</v>
      </c>
      <c r="D1" s="29" t="s">
        <v>168</v>
      </c>
      <c r="E1" s="29" t="s">
        <v>169</v>
      </c>
      <c r="F1" s="29" t="s">
        <v>170</v>
      </c>
    </row>
    <row r="2">
      <c r="A2" s="29" t="s">
        <v>171</v>
      </c>
      <c r="B2" s="29" t="s">
        <v>172</v>
      </c>
      <c r="C2" s="29" t="s">
        <v>173</v>
      </c>
      <c r="D2" s="30" t="s">
        <v>174</v>
      </c>
      <c r="E2" s="29">
        <v>2009.0</v>
      </c>
      <c r="F2" s="30" t="s">
        <v>175</v>
      </c>
    </row>
    <row r="3">
      <c r="A3" s="29" t="s">
        <v>176</v>
      </c>
      <c r="B3" s="29" t="s">
        <v>177</v>
      </c>
      <c r="C3" s="29" t="s">
        <v>178</v>
      </c>
      <c r="D3" s="29" t="s">
        <v>179</v>
      </c>
      <c r="E3" s="29">
        <v>2020.0</v>
      </c>
      <c r="F3" s="30" t="s">
        <v>180</v>
      </c>
    </row>
    <row r="4">
      <c r="A4" s="29" t="s">
        <v>181</v>
      </c>
      <c r="B4" s="29" t="s">
        <v>182</v>
      </c>
      <c r="C4" s="29" t="s">
        <v>173</v>
      </c>
      <c r="D4" s="29" t="s">
        <v>183</v>
      </c>
      <c r="E4" s="29">
        <v>2011.0</v>
      </c>
      <c r="F4" s="30" t="s">
        <v>184</v>
      </c>
    </row>
    <row r="5">
      <c r="A5" s="29" t="s">
        <v>185</v>
      </c>
      <c r="B5" s="29" t="s">
        <v>186</v>
      </c>
      <c r="C5" s="29" t="s">
        <v>173</v>
      </c>
      <c r="D5" s="29" t="s">
        <v>187</v>
      </c>
      <c r="E5" s="29">
        <v>2015.0</v>
      </c>
      <c r="F5" s="30" t="s">
        <v>188</v>
      </c>
    </row>
    <row r="6">
      <c r="A6" s="29" t="s">
        <v>189</v>
      </c>
      <c r="B6" s="29">
        <v>3.1</v>
      </c>
      <c r="C6" s="29" t="s">
        <v>173</v>
      </c>
      <c r="D6" s="29" t="s">
        <v>190</v>
      </c>
      <c r="E6" s="29">
        <v>2004.0</v>
      </c>
      <c r="F6" s="29" t="s">
        <v>191</v>
      </c>
    </row>
    <row r="7">
      <c r="A7" s="29" t="s">
        <v>192</v>
      </c>
      <c r="B7" s="29" t="s">
        <v>193</v>
      </c>
      <c r="C7" s="29" t="s">
        <v>194</v>
      </c>
      <c r="D7" s="29" t="s">
        <v>195</v>
      </c>
      <c r="E7" s="29">
        <v>2022.0</v>
      </c>
      <c r="F7" s="29" t="s">
        <v>196</v>
      </c>
    </row>
    <row r="8">
      <c r="A8" s="29" t="s">
        <v>197</v>
      </c>
      <c r="B8" s="29" t="s">
        <v>198</v>
      </c>
      <c r="C8" s="29" t="s">
        <v>173</v>
      </c>
      <c r="D8" s="29" t="s">
        <v>199</v>
      </c>
      <c r="E8" s="29">
        <v>2018.0</v>
      </c>
      <c r="F8" s="30" t="s">
        <v>200</v>
      </c>
    </row>
    <row r="9">
      <c r="A9" s="29" t="s">
        <v>201</v>
      </c>
      <c r="B9" s="29" t="s">
        <v>202</v>
      </c>
      <c r="C9" s="29" t="s">
        <v>173</v>
      </c>
      <c r="D9" s="29" t="s">
        <v>203</v>
      </c>
      <c r="E9" s="29">
        <v>2016.0</v>
      </c>
      <c r="F9" s="30" t="s">
        <v>204</v>
      </c>
    </row>
    <row r="10">
      <c r="A10" s="29" t="s">
        <v>205</v>
      </c>
      <c r="B10" s="29" t="s">
        <v>206</v>
      </c>
      <c r="C10" s="29" t="s">
        <v>173</v>
      </c>
      <c r="D10" s="29" t="s">
        <v>207</v>
      </c>
      <c r="E10" s="29">
        <v>2019.0</v>
      </c>
      <c r="F10" s="29" t="s">
        <v>208</v>
      </c>
    </row>
    <row r="11">
      <c r="A11" s="27" t="s">
        <v>209</v>
      </c>
      <c r="B11" s="27" t="s">
        <v>210</v>
      </c>
      <c r="C11" s="27" t="s">
        <v>211</v>
      </c>
      <c r="D11" s="27" t="s">
        <v>212</v>
      </c>
      <c r="E11" s="27">
        <v>2010.0</v>
      </c>
      <c r="F11" s="31" t="s">
        <v>213</v>
      </c>
    </row>
    <row r="12">
      <c r="A12" s="27" t="s">
        <v>214</v>
      </c>
      <c r="B12" s="27" t="s">
        <v>215</v>
      </c>
      <c r="C12" s="27" t="s">
        <v>173</v>
      </c>
      <c r="D12" s="27" t="s">
        <v>216</v>
      </c>
      <c r="E12" s="27">
        <v>2021.0</v>
      </c>
      <c r="F12" s="31" t="s">
        <v>217</v>
      </c>
    </row>
    <row r="13">
      <c r="A13" s="27" t="s">
        <v>218</v>
      </c>
      <c r="B13" s="27">
        <v>6.3</v>
      </c>
      <c r="C13" s="27" t="s">
        <v>219</v>
      </c>
      <c r="D13" s="27" t="s">
        <v>220</v>
      </c>
      <c r="E13" s="27">
        <v>2023.0</v>
      </c>
      <c r="F13" s="31" t="s">
        <v>221</v>
      </c>
    </row>
    <row r="14">
      <c r="A14" s="32" t="s">
        <v>222</v>
      </c>
      <c r="B14" s="27" t="s">
        <v>223</v>
      </c>
      <c r="C14" s="27" t="s">
        <v>173</v>
      </c>
      <c r="D14" s="27" t="s">
        <v>224</v>
      </c>
      <c r="E14" s="27">
        <v>2024.0</v>
      </c>
      <c r="F14" s="27" t="s">
        <v>225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F2"/>
    <hyperlink r:id="rId3" ref="F3"/>
    <hyperlink r:id="rId4" ref="F4"/>
    <hyperlink r:id="rId5" ref="F5"/>
    <hyperlink r:id="rId6" ref="F8"/>
    <hyperlink r:id="rId7" ref="F9"/>
    <hyperlink r:id="rId8" ref="F11"/>
    <hyperlink r:id="rId9" ref="F12"/>
    <hyperlink r:id="rId10" ref="F13"/>
  </hyperlinks>
  <printOptions/>
  <pageMargins bottom="1.0" footer="0.0" header="0.0" left="0.75" right="0.75" top="1.0"/>
  <pageSetup orientation="landscape"/>
  <drawing r:id="rId1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2024-02-27T21:44:00Z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