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Fig4" sheetId="1" r:id="rId4"/>
    <sheet state="visible" name="2. Fig5" sheetId="2" r:id="rId5"/>
    <sheet state="visible" name="3. Fig6_10k_subsets" sheetId="3" r:id="rId6"/>
    <sheet state="visible" name="4. Fig6_NfalsePos" sheetId="4" r:id="rId7"/>
    <sheet state="visible" name="5. Fig6_alternative_stats_inclu" sheetId="5" r:id="rId8"/>
  </sheets>
  <definedNames/>
  <calcPr/>
  <extLst>
    <ext uri="GoogleSheetsCustomDataVersion2">
      <go:sheetsCustomData xmlns:go="http://customooxmlschemas.google.com/" r:id="rId9" roundtripDataChecksum="29MSvNQNrgJ+8HGbfCtE1dulhpYM0E3Huiag/mOowtw="/>
    </ext>
  </extLst>
</workbook>
</file>

<file path=xl/sharedStrings.xml><?xml version="1.0" encoding="utf-8"?>
<sst xmlns="http://schemas.openxmlformats.org/spreadsheetml/2006/main" count="1464" uniqueCount="169">
  <si>
    <t>region_x</t>
  </si>
  <si>
    <t>pipeline_x</t>
  </si>
  <si>
    <t>region_y</t>
  </si>
  <si>
    <t>pipeline_y</t>
  </si>
  <si>
    <t>metric</t>
  </si>
  <si>
    <t>maketube duplication</t>
  </si>
  <si>
    <t>test</t>
  </si>
  <si>
    <t>orientation</t>
  </si>
  <si>
    <t>ties</t>
  </si>
  <si>
    <t>stat_test</t>
  </si>
  <si>
    <t>pvalue</t>
  </si>
  <si>
    <t>corrected_pvalue_threshold</t>
  </si>
  <si>
    <t>ratio</t>
  </si>
  <si>
    <t>significativity</t>
  </si>
  <si>
    <t>nucmer</t>
  </si>
  <si>
    <t>maketube</t>
  </si>
  <si>
    <t>minimap2</t>
  </si>
  <si>
    <t>precision</t>
  </si>
  <si>
    <t>with</t>
  </si>
  <si>
    <t>wilcox</t>
  </si>
  <si>
    <t>two.sided</t>
  </si>
  <si>
    <t>yes</t>
  </si>
  <si>
    <t>***</t>
  </si>
  <si>
    <t>permutation (welch)</t>
  </si>
  <si>
    <t>snpmutator</t>
  </si>
  <si>
    <t>NA</t>
  </si>
  <si>
    <t>-</t>
  </si>
  <si>
    <t>data constant</t>
  </si>
  <si>
    <t>recall</t>
  </si>
  <si>
    <t>**</t>
  </si>
  <si>
    <t>without</t>
  </si>
  <si>
    <t>MTBseq</t>
  </si>
  <si>
    <t>TBprofiler</t>
  </si>
  <si>
    <t>genotube</t>
  </si>
  <si>
    <t>experience</t>
  </si>
  <si>
    <t>reference
region</t>
  </si>
  <si>
    <t>reference region 
size (bp)</t>
  </si>
  <si>
    <t>test region</t>
  </si>
  <si>
    <t>test region
size (bp)</t>
  </si>
  <si>
    <t>statistical test</t>
  </si>
  <si>
    <t>orientation 
under H0</t>
  </si>
  <si>
    <t>corrected pvalue
treshold</t>
  </si>
  <si>
    <t>note</t>
  </si>
  <si>
    <t>with duplicated regions</t>
  </si>
  <si>
    <t>neutral subset</t>
  </si>
  <si>
    <t>10k</t>
  </si>
  <si>
    <t>DR scar regions</t>
  </si>
  <si>
    <t>X &gt; Y</t>
  </si>
  <si>
    <t>data constant = 1</t>
  </si>
  <si>
    <t>permutation (welsh)</t>
  </si>
  <si>
    <t>without duplication regions</t>
  </si>
  <si>
    <t>ancestral-like flanking regions</t>
  </si>
  <si>
    <t>4.8k</t>
  </si>
  <si>
    <t>IS flanking regions</t>
  </si>
  <si>
    <t>9.6k</t>
  </si>
  <si>
    <t>IS scar regions</t>
  </si>
  <si>
    <t>duplicated region</t>
  </si>
  <si>
    <t>0.05/16 = 0,003125</t>
  </si>
  <si>
    <t>on10k- means</t>
  </si>
  <si>
    <t>Neutral</t>
  </si>
  <si>
    <t>Ancestral-like flanking regions</t>
  </si>
  <si>
    <t>Duplicated regions</t>
  </si>
  <si>
    <t>false negatives w/o dup</t>
  </si>
  <si>
    <t>true positives with duplicated</t>
  </si>
  <si>
    <t>true positives w/o dup</t>
  </si>
  <si>
    <t>false positives w/o dup</t>
  </si>
  <si>
    <t>0.005</t>
  </si>
  <si>
    <t>TP</t>
  </si>
  <si>
    <t>FN</t>
  </si>
  <si>
    <t>FP</t>
  </si>
  <si>
    <t>%FN</t>
  </si>
  <si>
    <t>total with duplic</t>
  </si>
  <si>
    <t>total w/o duplic</t>
  </si>
  <si>
    <t>Ancestral-like flanking</t>
  </si>
  <si>
    <t>IS flank reg</t>
  </si>
  <si>
    <t>Neutral regions</t>
  </si>
  <si>
    <t>orientation under H0</t>
  </si>
  <si>
    <t>decision</t>
  </si>
  <si>
    <t>shift</t>
  </si>
  <si>
    <t>antibiotic</t>
  </si>
  <si>
    <t>genotube_H0</t>
  </si>
  <si>
    <t>0.001666667</t>
  </si>
  <si>
    <t>duplicated_region</t>
  </si>
  <si>
    <t>2.92E-09</t>
  </si>
  <si>
    <t>1.75E-06</t>
  </si>
  <si>
    <t>-4.207869</t>
  </si>
  <si>
    <t>1.00E-04</t>
  </si>
  <si>
    <t>6.00E-02</t>
  </si>
  <si>
    <t>DR_scar_regions</t>
  </si>
  <si>
    <t>insertion_flanking_regions</t>
  </si>
  <si>
    <t>IS_flanking_regions</t>
  </si>
  <si>
    <t>0.0007344</t>
  </si>
  <si>
    <t>4.41E-01</t>
  </si>
  <si>
    <t>*</t>
  </si>
  <si>
    <t>-3.164522</t>
  </si>
  <si>
    <t>IS_scar_regions</t>
  </si>
  <si>
    <t>0.08158</t>
  </si>
  <si>
    <t>4.89E+01</t>
  </si>
  <si>
    <t>-1.417798</t>
  </si>
  <si>
    <t>TBprofiler_H0</t>
  </si>
  <si>
    <t>0.9934</t>
  </si>
  <si>
    <t>5.96E+02</t>
  </si>
  <si>
    <t>1.993704</t>
  </si>
  <si>
    <t>0.9748025</t>
  </si>
  <si>
    <t>5.85E+02</t>
  </si>
  <si>
    <t>&lt; 2.2e-16</t>
  </si>
  <si>
    <t>-162.8257</t>
  </si>
  <si>
    <t>0.01566</t>
  </si>
  <si>
    <t>9.40E+00</t>
  </si>
  <si>
    <t>-2.323572</t>
  </si>
  <si>
    <t>0.00559944</t>
  </si>
  <si>
    <t>3.36E+00</t>
  </si>
  <si>
    <t>0.9797</t>
  </si>
  <si>
    <t>5.88E+02</t>
  </si>
  <si>
    <t>2.29294</t>
  </si>
  <si>
    <t>0.9792021</t>
  </si>
  <si>
    <t>0.07299</t>
  </si>
  <si>
    <t>4.38E+01</t>
  </si>
  <si>
    <t>-2.236198</t>
  </si>
  <si>
    <t>0.01179882</t>
  </si>
  <si>
    <t>7.08E+00</t>
  </si>
  <si>
    <t>6.91E-09</t>
  </si>
  <si>
    <t>4.14E-06</t>
  </si>
  <si>
    <t>-5.201886</t>
  </si>
  <si>
    <t>0.07357</t>
  </si>
  <si>
    <t>4.41E+01</t>
  </si>
  <si>
    <t>-3.158403</t>
  </si>
  <si>
    <t>0.00139986</t>
  </si>
  <si>
    <t>8.40E-01</t>
  </si>
  <si>
    <t>-188.4798</t>
  </si>
  <si>
    <t>0.1438</t>
  </si>
  <si>
    <t>8.63E+01</t>
  </si>
  <si>
    <t>-1.027103</t>
  </si>
  <si>
    <t>0.06479352</t>
  </si>
  <si>
    <t>3.89E+01</t>
  </si>
  <si>
    <t>0.8967</t>
  </si>
  <si>
    <t>5.38E+02</t>
  </si>
  <si>
    <t>1.468808</t>
  </si>
  <si>
    <t>0.9157084</t>
  </si>
  <si>
    <t>5.49E+02</t>
  </si>
  <si>
    <t>-8.378581</t>
  </si>
  <si>
    <t>0.1494</t>
  </si>
  <si>
    <t>8.96E+01</t>
  </si>
  <si>
    <t>-2.01312</t>
  </si>
  <si>
    <t>0.0219978</t>
  </si>
  <si>
    <t>1.32E+01</t>
  </si>
  <si>
    <t>1.00E+00</t>
  </si>
  <si>
    <t>6.00E+02</t>
  </si>
  <si>
    <t>1.673571</t>
  </si>
  <si>
    <t>0.9518048</t>
  </si>
  <si>
    <t>5.71E+02</t>
  </si>
  <si>
    <t>14.1563</t>
  </si>
  <si>
    <t>0.8994</t>
  </si>
  <si>
    <t>5.40E+02</t>
  </si>
  <si>
    <t>1.346061</t>
  </si>
  <si>
    <t>0.6975302</t>
  </si>
  <si>
    <t>4.19E+02</t>
  </si>
  <si>
    <t>0.997</t>
  </si>
  <si>
    <t>5.98E+02</t>
  </si>
  <si>
    <t>1.871667</t>
  </si>
  <si>
    <t>0.9641036</t>
  </si>
  <si>
    <t>5.78E+02</t>
  </si>
  <si>
    <t>1.10E-15</t>
  </si>
  <si>
    <t>6.61E-13</t>
  </si>
  <si>
    <t>-7.751946</t>
  </si>
  <si>
    <t>0.9998</t>
  </si>
  <si>
    <t>0.9505049</t>
  </si>
  <si>
    <t>5.70E+02</t>
  </si>
  <si>
    <t>en fait &lt;0.000399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</si>
</sst>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E36C09"/>
      <name val="Calibri"/>
    </font>
    <font>
      <color theme="1"/>
      <name val="Calibri"/>
      <scheme val="minor"/>
    </font>
    <font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sz val="11.0"/>
      <color rgb="FFE26B0A"/>
      <name val="Calibri"/>
    </font>
    <font>
      <sz val="11.0"/>
      <color rgb="FF00B0F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EF3"/>
        <bgColor rgb="FFDBEEF3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vertical="center"/>
    </xf>
    <xf borderId="3" fillId="2" fontId="2" numFmtId="11" xfId="0" applyAlignment="1" applyBorder="1" applyFont="1" applyNumberFormat="1">
      <alignment horizontal="center" readingOrder="0" vertical="center"/>
    </xf>
    <xf borderId="3" fillId="2" fontId="2" numFmtId="11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vertical="center"/>
    </xf>
    <xf borderId="6" fillId="3" fontId="2" numFmtId="11" xfId="0" applyAlignment="1" applyBorder="1" applyFont="1" applyNumberFormat="1">
      <alignment horizontal="center" readingOrder="0" vertical="center"/>
    </xf>
    <xf borderId="6" fillId="3" fontId="2" numFmtId="11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6" fillId="3" fontId="4" numFmtId="0" xfId="0" applyAlignment="1" applyBorder="1" applyFont="1">
      <alignment horizontal="center" vertical="center"/>
    </xf>
    <xf borderId="8" fillId="3" fontId="2" numFmtId="11" xfId="0" applyAlignment="1" applyBorder="1" applyFont="1" applyNumberFormat="1">
      <alignment readingOrder="0" vertical="center"/>
    </xf>
    <xf borderId="7" fillId="3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3" fillId="2" fontId="2" numFmtId="11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5" fillId="3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6" fillId="3" fontId="2" numFmtId="11" xfId="0" applyAlignment="1" applyBorder="1" applyFont="1" applyNumberForma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2" numFmtId="11" xfId="0" applyAlignment="1" applyFont="1" applyNumberFormat="1">
      <alignment horizontal="center" readingOrder="0" vertical="center"/>
    </xf>
    <xf borderId="0" fillId="2" fontId="2" numFmtId="11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9" fillId="0" fontId="7" numFmtId="0" xfId="0" applyAlignment="1" applyBorder="1" applyFont="1">
      <alignment horizontal="left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9" fillId="0" fontId="7" numFmtId="0" xfId="0" applyAlignment="1" applyBorder="1" applyFont="1">
      <alignment horizontal="center" readingOrder="0" shrinkToFit="0" vertical="center" wrapText="0"/>
    </xf>
    <xf borderId="11" fillId="0" fontId="7" numFmtId="0" xfId="0" applyAlignment="1" applyBorder="1" applyFont="1">
      <alignment horizontal="center" readingOrder="0" shrinkToFit="0" vertical="center" wrapText="0"/>
    </xf>
    <xf borderId="12" fillId="4" fontId="8" numFmtId="0" xfId="0" applyAlignment="1" applyBorder="1" applyFill="1" applyFont="1">
      <alignment horizontal="left" readingOrder="0" shrinkToFit="0" vertical="center" wrapText="0"/>
    </xf>
    <xf borderId="13" fillId="4" fontId="8" numFmtId="0" xfId="0" applyAlignment="1" applyBorder="1" applyFont="1">
      <alignment horizontal="center" readingOrder="0" shrinkToFit="0" vertical="center" wrapText="0"/>
    </xf>
    <xf borderId="12" fillId="4" fontId="8" numFmtId="0" xfId="0" applyAlignment="1" applyBorder="1" applyFont="1">
      <alignment horizontal="center" readingOrder="0" shrinkToFit="0" vertical="center" wrapText="0"/>
    </xf>
    <xf borderId="14" fillId="4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vertical="center"/>
    </xf>
    <xf borderId="15" fillId="3" fontId="8" numFmtId="0" xfId="0" applyAlignment="1" applyBorder="1" applyFont="1">
      <alignment horizontal="left" readingOrder="0" shrinkToFit="0" vertical="center" wrapText="0"/>
    </xf>
    <xf borderId="16" fillId="3" fontId="8" numFmtId="0" xfId="0" applyAlignment="1" applyBorder="1" applyFont="1">
      <alignment horizontal="center" readingOrder="0" shrinkToFit="0" vertical="center" wrapText="0"/>
    </xf>
    <xf borderId="15" fillId="3" fontId="8" numFmtId="0" xfId="0" applyAlignment="1" applyBorder="1" applyFont="1">
      <alignment horizontal="center" readingOrder="0" shrinkToFit="0" vertical="center" wrapText="0"/>
    </xf>
    <xf borderId="17" fillId="3" fontId="8" numFmtId="0" xfId="0" applyAlignment="1" applyBorder="1" applyFont="1">
      <alignment horizontal="center" readingOrder="0" shrinkToFit="0" vertical="center" wrapText="0"/>
    </xf>
    <xf borderId="13" fillId="4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14" fillId="4" fontId="8" numFmtId="11" xfId="0" applyAlignment="1" applyBorder="1" applyFont="1" applyNumberFormat="1">
      <alignment horizontal="center" readingOrder="0" shrinkToFit="0" vertical="center" wrapText="0"/>
    </xf>
    <xf borderId="13" fillId="4" fontId="8" numFmtId="11" xfId="0" applyAlignment="1" applyBorder="1" applyFont="1" applyNumberFormat="1">
      <alignment horizontal="center" readingOrder="0" shrinkToFit="0" vertical="center" wrapText="0"/>
    </xf>
    <xf borderId="17" fillId="3" fontId="8" numFmtId="11" xfId="0" applyAlignment="1" applyBorder="1" applyFont="1" applyNumberFormat="1">
      <alignment horizontal="center" readingOrder="0" shrinkToFit="0" vertical="center" wrapText="0"/>
    </xf>
    <xf borderId="16" fillId="3" fontId="8" numFmtId="11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18" fillId="0" fontId="5" numFmtId="0" xfId="0" applyAlignment="1" applyBorder="1" applyFont="1">
      <alignment vertical="center"/>
    </xf>
    <xf borderId="18" fillId="0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shrinkToFit="0" vertical="center" wrapText="0"/>
    </xf>
    <xf borderId="18" fillId="4" fontId="8" numFmtId="0" xfId="0" applyAlignment="1" applyBorder="1" applyFont="1">
      <alignment horizontal="center" readingOrder="0" shrinkToFit="0" vertical="center" wrapText="0"/>
    </xf>
    <xf borderId="18" fillId="4" fontId="3" numFmtId="0" xfId="0" applyAlignment="1" applyBorder="1" applyFont="1">
      <alignment horizontal="center" readingOrder="0" shrinkToFit="0" vertical="center" wrapText="0"/>
    </xf>
    <xf borderId="18" fillId="4" fontId="8" numFmtId="0" xfId="0" applyAlignment="1" applyBorder="1" applyFont="1">
      <alignment horizontal="center" shrinkToFit="0" vertical="center" wrapText="0"/>
    </xf>
    <xf borderId="18" fillId="4" fontId="8" numFmtId="0" xfId="0" applyAlignment="1" applyBorder="1" applyFont="1">
      <alignment horizontal="center" shrinkToFit="0" vertical="center" wrapText="0"/>
    </xf>
    <xf borderId="18" fillId="3" fontId="8" numFmtId="0" xfId="0" applyAlignment="1" applyBorder="1" applyFont="1">
      <alignment horizontal="center" readingOrder="0" shrinkToFit="0" vertical="center" wrapText="0"/>
    </xf>
    <xf borderId="18" fillId="3" fontId="3" numFmtId="0" xfId="0" applyAlignment="1" applyBorder="1" applyFont="1">
      <alignment horizontal="center" readingOrder="0" shrinkToFit="0" vertical="center" wrapText="0"/>
    </xf>
    <xf borderId="18" fillId="3" fontId="8" numFmtId="0" xfId="0" applyAlignment="1" applyBorder="1" applyFont="1">
      <alignment horizontal="center" shrinkToFit="0" vertical="center" wrapText="0"/>
    </xf>
    <xf borderId="18" fillId="3" fontId="8" numFmtId="0" xfId="0" applyAlignment="1" applyBorder="1" applyFont="1">
      <alignment horizontal="center" shrinkToFit="0" vertical="center" wrapText="0"/>
    </xf>
    <xf borderId="18" fillId="3" fontId="3" numFmtId="0" xfId="0" applyAlignment="1" applyBorder="1" applyFont="1">
      <alignment horizontal="center" shrinkToFit="0" vertical="center" wrapText="0"/>
    </xf>
    <xf borderId="18" fillId="3" fontId="3" numFmtId="0" xfId="0" applyAlignment="1" applyBorder="1" applyFont="1">
      <alignment horizontal="center" shrinkToFit="0" vertical="center" wrapText="0"/>
    </xf>
    <xf borderId="18" fillId="4" fontId="10" numFmtId="0" xfId="0" applyAlignment="1" applyBorder="1" applyFont="1">
      <alignment horizontal="center" readingOrder="0" shrinkToFit="0" vertical="center" wrapText="0"/>
    </xf>
    <xf borderId="18" fillId="3" fontId="10" numFmtId="0" xfId="0" applyAlignment="1" applyBorder="1" applyFont="1">
      <alignment horizontal="center" readingOrder="0" shrinkToFit="0" vertical="center" wrapText="0"/>
    </xf>
    <xf borderId="18" fillId="4" fontId="11" numFmtId="0" xfId="0" applyAlignment="1" applyBorder="1" applyFont="1">
      <alignment horizontal="center" shrinkToFit="0" vertical="center" wrapText="0"/>
    </xf>
    <xf borderId="18" fillId="4" fontId="11" numFmtId="0" xfId="0" applyAlignment="1" applyBorder="1" applyFont="1">
      <alignment horizontal="center" shrinkToFit="0" vertical="center" wrapText="0"/>
    </xf>
    <xf borderId="18" fillId="3" fontId="11" numFmtId="0" xfId="0" applyAlignment="1" applyBorder="1" applyFont="1">
      <alignment horizontal="center" shrinkToFit="0" vertical="center" wrapText="0"/>
    </xf>
    <xf borderId="18" fillId="3" fontId="11" numFmtId="0" xfId="0" applyAlignment="1" applyBorder="1" applyFont="1">
      <alignment horizontal="center" shrinkToFit="0" vertical="center" wrapText="0"/>
    </xf>
    <xf borderId="18" fillId="4" fontId="8" numFmtId="164" xfId="0" applyAlignment="1" applyBorder="1" applyFont="1" applyNumberFormat="1">
      <alignment horizontal="center" readingOrder="0" shrinkToFit="0" vertical="center" wrapText="0"/>
    </xf>
    <xf borderId="4" fillId="2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43"/>
    <col customWidth="1" min="3" max="3" width="11.71"/>
    <col customWidth="1" min="4" max="4" width="13.43"/>
    <col customWidth="1" min="5" max="6" width="11.0"/>
    <col customWidth="1" min="7" max="7" width="22.86"/>
    <col customWidth="1" min="8" max="8" width="14.29"/>
    <col customWidth="1" min="9" max="9" width="5.43"/>
    <col customWidth="1" min="10" max="10" width="11.86"/>
    <col customWidth="1" min="11" max="11" width="20.43"/>
    <col customWidth="1" min="12" max="12" width="33.43"/>
    <col customWidth="1" min="13" max="13" width="17.86"/>
    <col customWidth="1" min="14" max="14" width="17.0"/>
    <col customWidth="1" min="15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5" t="s">
        <v>16</v>
      </c>
      <c r="D2" s="4" t="s">
        <v>15</v>
      </c>
      <c r="E2" s="6" t="s">
        <v>17</v>
      </c>
      <c r="F2" s="5" t="s">
        <v>18</v>
      </c>
      <c r="G2" s="6" t="s">
        <v>19</v>
      </c>
      <c r="H2" s="6" t="s">
        <v>20</v>
      </c>
      <c r="I2" s="6" t="s">
        <v>21</v>
      </c>
      <c r="J2" s="5">
        <v>0.0</v>
      </c>
      <c r="K2" s="7">
        <v>2.362E-12</v>
      </c>
      <c r="L2" s="6">
        <f t="shared" ref="L2:L29" si="1">0.05/28</f>
        <v>0.001785714286</v>
      </c>
      <c r="M2" s="8">
        <f t="shared" ref="M2:M29" si="2">K2/L2</f>
        <v>0.00000000132272</v>
      </c>
      <c r="N2" s="9" t="s">
        <v>22</v>
      </c>
    </row>
    <row r="3">
      <c r="A3" s="10" t="s">
        <v>14</v>
      </c>
      <c r="B3" s="11" t="s">
        <v>15</v>
      </c>
      <c r="C3" s="12" t="s">
        <v>16</v>
      </c>
      <c r="D3" s="11" t="s">
        <v>15</v>
      </c>
      <c r="E3" s="13" t="s">
        <v>17</v>
      </c>
      <c r="F3" s="12" t="s">
        <v>18</v>
      </c>
      <c r="G3" s="12" t="s">
        <v>23</v>
      </c>
      <c r="H3" s="13" t="s">
        <v>20</v>
      </c>
      <c r="I3" s="13" t="s">
        <v>21</v>
      </c>
      <c r="J3" s="12">
        <v>-5.586329</v>
      </c>
      <c r="K3" s="14">
        <v>1.99998E-5</v>
      </c>
      <c r="L3" s="6">
        <f t="shared" si="1"/>
        <v>0.001785714286</v>
      </c>
      <c r="M3" s="15">
        <f t="shared" si="2"/>
        <v>0.011199888</v>
      </c>
      <c r="N3" s="16" t="s">
        <v>22</v>
      </c>
    </row>
    <row r="4">
      <c r="A4" s="3" t="s">
        <v>14</v>
      </c>
      <c r="B4" s="17" t="s">
        <v>24</v>
      </c>
      <c r="C4" s="5" t="s">
        <v>16</v>
      </c>
      <c r="D4" s="17" t="s">
        <v>24</v>
      </c>
      <c r="E4" s="6" t="s">
        <v>17</v>
      </c>
      <c r="F4" s="5" t="s">
        <v>18</v>
      </c>
      <c r="G4" s="6" t="s">
        <v>19</v>
      </c>
      <c r="H4" s="6" t="s">
        <v>20</v>
      </c>
      <c r="I4" s="6" t="s">
        <v>21</v>
      </c>
      <c r="J4" s="5">
        <v>435.0</v>
      </c>
      <c r="K4" s="6" t="s">
        <v>25</v>
      </c>
      <c r="L4" s="6">
        <f t="shared" si="1"/>
        <v>0.001785714286</v>
      </c>
      <c r="M4" s="6" t="str">
        <f t="shared" si="2"/>
        <v>#VALUE!</v>
      </c>
      <c r="N4" s="9" t="s">
        <v>26</v>
      </c>
      <c r="O4" s="18" t="s">
        <v>27</v>
      </c>
    </row>
    <row r="5">
      <c r="A5" s="10" t="s">
        <v>14</v>
      </c>
      <c r="B5" s="19" t="s">
        <v>24</v>
      </c>
      <c r="C5" s="12" t="s">
        <v>16</v>
      </c>
      <c r="D5" s="19" t="s">
        <v>24</v>
      </c>
      <c r="E5" s="13" t="s">
        <v>17</v>
      </c>
      <c r="F5" s="12" t="s">
        <v>18</v>
      </c>
      <c r="G5" s="12" t="s">
        <v>23</v>
      </c>
      <c r="H5" s="13" t="s">
        <v>20</v>
      </c>
      <c r="I5" s="13" t="s">
        <v>21</v>
      </c>
      <c r="J5" s="13" t="s">
        <v>25</v>
      </c>
      <c r="K5" s="13" t="s">
        <v>25</v>
      </c>
      <c r="L5" s="6">
        <f t="shared" si="1"/>
        <v>0.001785714286</v>
      </c>
      <c r="M5" s="13" t="str">
        <f t="shared" si="2"/>
        <v>#VALUE!</v>
      </c>
      <c r="N5" s="16" t="s">
        <v>26</v>
      </c>
      <c r="O5" s="18" t="s">
        <v>27</v>
      </c>
    </row>
    <row r="6">
      <c r="A6" s="3" t="s">
        <v>14</v>
      </c>
      <c r="B6" s="4" t="s">
        <v>15</v>
      </c>
      <c r="C6" s="5" t="s">
        <v>16</v>
      </c>
      <c r="D6" s="4" t="s">
        <v>15</v>
      </c>
      <c r="E6" s="6" t="s">
        <v>28</v>
      </c>
      <c r="F6" s="5" t="s">
        <v>18</v>
      </c>
      <c r="G6" s="6" t="s">
        <v>19</v>
      </c>
      <c r="H6" s="6" t="s">
        <v>20</v>
      </c>
      <c r="I6" s="6" t="s">
        <v>21</v>
      </c>
      <c r="J6" s="5">
        <v>900.0</v>
      </c>
      <c r="K6" s="7">
        <v>3.016E-11</v>
      </c>
      <c r="L6" s="6">
        <f t="shared" si="1"/>
        <v>0.001785714286</v>
      </c>
      <c r="M6" s="8">
        <f t="shared" si="2"/>
        <v>0.0000000168896</v>
      </c>
      <c r="N6" s="9" t="s">
        <v>22</v>
      </c>
    </row>
    <row r="7">
      <c r="A7" s="10" t="s">
        <v>14</v>
      </c>
      <c r="B7" s="11" t="s">
        <v>15</v>
      </c>
      <c r="C7" s="12" t="s">
        <v>16</v>
      </c>
      <c r="D7" s="11" t="s">
        <v>15</v>
      </c>
      <c r="E7" s="13" t="s">
        <v>28</v>
      </c>
      <c r="F7" s="12" t="s">
        <v>18</v>
      </c>
      <c r="G7" s="12" t="s">
        <v>23</v>
      </c>
      <c r="H7" s="13" t="s">
        <v>20</v>
      </c>
      <c r="I7" s="13" t="s">
        <v>21</v>
      </c>
      <c r="J7" s="12">
        <v>16.8756</v>
      </c>
      <c r="K7" s="12">
        <v>0.0</v>
      </c>
      <c r="L7" s="6">
        <f t="shared" si="1"/>
        <v>0.001785714286</v>
      </c>
      <c r="M7" s="13">
        <f t="shared" si="2"/>
        <v>0</v>
      </c>
      <c r="N7" s="16" t="s">
        <v>22</v>
      </c>
    </row>
    <row r="8">
      <c r="A8" s="3" t="s">
        <v>14</v>
      </c>
      <c r="B8" s="17" t="s">
        <v>24</v>
      </c>
      <c r="C8" s="5" t="s">
        <v>16</v>
      </c>
      <c r="D8" s="17" t="s">
        <v>24</v>
      </c>
      <c r="E8" s="6" t="s">
        <v>28</v>
      </c>
      <c r="F8" s="5" t="s">
        <v>18</v>
      </c>
      <c r="G8" s="6" t="s">
        <v>19</v>
      </c>
      <c r="H8" s="6" t="s">
        <v>20</v>
      </c>
      <c r="I8" s="6" t="s">
        <v>21</v>
      </c>
      <c r="J8" s="5">
        <v>435.0</v>
      </c>
      <c r="K8" s="5">
        <v>0.0</v>
      </c>
      <c r="L8" s="6">
        <f t="shared" si="1"/>
        <v>0.001785714286</v>
      </c>
      <c r="M8" s="6">
        <f t="shared" si="2"/>
        <v>0</v>
      </c>
      <c r="N8" s="9" t="s">
        <v>26</v>
      </c>
      <c r="O8" s="18" t="s">
        <v>27</v>
      </c>
    </row>
    <row r="9">
      <c r="A9" s="10" t="s">
        <v>14</v>
      </c>
      <c r="B9" s="19" t="s">
        <v>24</v>
      </c>
      <c r="C9" s="12" t="s">
        <v>16</v>
      </c>
      <c r="D9" s="19" t="s">
        <v>24</v>
      </c>
      <c r="E9" s="13" t="s">
        <v>28</v>
      </c>
      <c r="F9" s="12" t="s">
        <v>18</v>
      </c>
      <c r="G9" s="12" t="s">
        <v>23</v>
      </c>
      <c r="H9" s="13" t="s">
        <v>20</v>
      </c>
      <c r="I9" s="13" t="s">
        <v>21</v>
      </c>
      <c r="J9" s="12" t="s">
        <v>25</v>
      </c>
      <c r="K9" s="12" t="s">
        <v>25</v>
      </c>
      <c r="L9" s="6">
        <f t="shared" si="1"/>
        <v>0.001785714286</v>
      </c>
      <c r="M9" s="13" t="str">
        <f t="shared" si="2"/>
        <v>#VALUE!</v>
      </c>
      <c r="N9" s="16" t="s">
        <v>26</v>
      </c>
      <c r="O9" s="18" t="s">
        <v>27</v>
      </c>
    </row>
    <row r="10">
      <c r="A10" s="3" t="s">
        <v>14</v>
      </c>
      <c r="B10" s="17" t="s">
        <v>24</v>
      </c>
      <c r="C10" s="6" t="s">
        <v>14</v>
      </c>
      <c r="D10" s="4" t="s">
        <v>15</v>
      </c>
      <c r="E10" s="6" t="s">
        <v>28</v>
      </c>
      <c r="F10" s="5" t="s">
        <v>18</v>
      </c>
      <c r="G10" s="6" t="s">
        <v>19</v>
      </c>
      <c r="H10" s="6" t="s">
        <v>20</v>
      </c>
      <c r="I10" s="6" t="s">
        <v>21</v>
      </c>
      <c r="J10" s="5">
        <v>0.0</v>
      </c>
      <c r="K10" s="7">
        <v>2.362E-12</v>
      </c>
      <c r="L10" s="6">
        <f t="shared" si="1"/>
        <v>0.001785714286</v>
      </c>
      <c r="M10" s="8">
        <f t="shared" si="2"/>
        <v>0.00000000132272</v>
      </c>
      <c r="N10" s="9" t="s">
        <v>22</v>
      </c>
    </row>
    <row r="11">
      <c r="A11" s="10" t="s">
        <v>14</v>
      </c>
      <c r="B11" s="19" t="s">
        <v>24</v>
      </c>
      <c r="C11" s="13" t="s">
        <v>14</v>
      </c>
      <c r="D11" s="11" t="s">
        <v>15</v>
      </c>
      <c r="E11" s="13" t="s">
        <v>28</v>
      </c>
      <c r="F11" s="12" t="s">
        <v>18</v>
      </c>
      <c r="G11" s="12" t="s">
        <v>23</v>
      </c>
      <c r="H11" s="13" t="s">
        <v>20</v>
      </c>
      <c r="I11" s="13" t="s">
        <v>21</v>
      </c>
      <c r="J11" s="12">
        <v>-5.586329</v>
      </c>
      <c r="K11" s="20">
        <v>1.99998E-5</v>
      </c>
      <c r="L11" s="6">
        <f t="shared" si="1"/>
        <v>0.001785714286</v>
      </c>
      <c r="M11" s="15">
        <f t="shared" si="2"/>
        <v>0.011199888</v>
      </c>
      <c r="N11" s="21" t="s">
        <v>29</v>
      </c>
    </row>
    <row r="12">
      <c r="A12" s="22" t="s">
        <v>16</v>
      </c>
      <c r="B12" s="17" t="s">
        <v>24</v>
      </c>
      <c r="C12" s="5" t="s">
        <v>16</v>
      </c>
      <c r="D12" s="4" t="s">
        <v>15</v>
      </c>
      <c r="E12" s="6" t="s">
        <v>28</v>
      </c>
      <c r="F12" s="5" t="s">
        <v>18</v>
      </c>
      <c r="G12" s="6" t="s">
        <v>19</v>
      </c>
      <c r="H12" s="6" t="s">
        <v>20</v>
      </c>
      <c r="I12" s="6" t="s">
        <v>21</v>
      </c>
      <c r="J12" s="5">
        <v>0.0</v>
      </c>
      <c r="K12" s="7">
        <v>1.211E-12</v>
      </c>
      <c r="L12" s="6">
        <f t="shared" si="1"/>
        <v>0.001785714286</v>
      </c>
      <c r="M12" s="8">
        <f t="shared" si="2"/>
        <v>0.00000000067816</v>
      </c>
      <c r="N12" s="9" t="s">
        <v>22</v>
      </c>
    </row>
    <row r="13">
      <c r="A13" s="23" t="s">
        <v>16</v>
      </c>
      <c r="B13" s="19" t="s">
        <v>24</v>
      </c>
      <c r="C13" s="12" t="s">
        <v>16</v>
      </c>
      <c r="D13" s="11" t="s">
        <v>15</v>
      </c>
      <c r="E13" s="13" t="s">
        <v>28</v>
      </c>
      <c r="F13" s="12" t="s">
        <v>18</v>
      </c>
      <c r="G13" s="12" t="s">
        <v>23</v>
      </c>
      <c r="H13" s="13" t="s">
        <v>20</v>
      </c>
      <c r="I13" s="13" t="s">
        <v>21</v>
      </c>
      <c r="J13" s="12">
        <v>-52.28033</v>
      </c>
      <c r="K13" s="14">
        <v>1.99998E-5</v>
      </c>
      <c r="L13" s="6">
        <f t="shared" si="1"/>
        <v>0.001785714286</v>
      </c>
      <c r="M13" s="15">
        <f t="shared" si="2"/>
        <v>0.011199888</v>
      </c>
      <c r="N13" s="21" t="s">
        <v>29</v>
      </c>
    </row>
    <row r="14">
      <c r="A14" s="3" t="s">
        <v>14</v>
      </c>
      <c r="B14" s="17" t="s">
        <v>24</v>
      </c>
      <c r="C14" s="6" t="s">
        <v>14</v>
      </c>
      <c r="D14" s="4" t="s">
        <v>15</v>
      </c>
      <c r="E14" s="6" t="s">
        <v>17</v>
      </c>
      <c r="F14" s="5" t="s">
        <v>18</v>
      </c>
      <c r="G14" s="6" t="s">
        <v>19</v>
      </c>
      <c r="H14" s="6" t="s">
        <v>20</v>
      </c>
      <c r="I14" s="6" t="s">
        <v>21</v>
      </c>
      <c r="J14" s="5">
        <v>0.0</v>
      </c>
      <c r="K14" s="7">
        <v>2.258E-12</v>
      </c>
      <c r="L14" s="6">
        <f t="shared" si="1"/>
        <v>0.001785714286</v>
      </c>
      <c r="M14" s="8">
        <f t="shared" si="2"/>
        <v>0.00000000126448</v>
      </c>
      <c r="N14" s="9" t="s">
        <v>22</v>
      </c>
    </row>
    <row r="15">
      <c r="A15" s="10" t="s">
        <v>14</v>
      </c>
      <c r="B15" s="19" t="s">
        <v>24</v>
      </c>
      <c r="C15" s="13" t="s">
        <v>14</v>
      </c>
      <c r="D15" s="11" t="s">
        <v>15</v>
      </c>
      <c r="E15" s="13" t="s">
        <v>17</v>
      </c>
      <c r="F15" s="12" t="s">
        <v>18</v>
      </c>
      <c r="G15" s="12" t="s">
        <v>23</v>
      </c>
      <c r="H15" s="13" t="s">
        <v>20</v>
      </c>
      <c r="I15" s="13" t="s">
        <v>21</v>
      </c>
      <c r="J15" s="12">
        <v>-5.628424</v>
      </c>
      <c r="K15" s="14">
        <v>1.99998E-5</v>
      </c>
      <c r="L15" s="6">
        <f t="shared" si="1"/>
        <v>0.001785714286</v>
      </c>
      <c r="M15" s="15">
        <f t="shared" si="2"/>
        <v>0.011199888</v>
      </c>
      <c r="N15" s="21" t="s">
        <v>29</v>
      </c>
    </row>
    <row r="16">
      <c r="A16" s="22" t="s">
        <v>16</v>
      </c>
      <c r="B16" s="17" t="s">
        <v>24</v>
      </c>
      <c r="C16" s="5" t="s">
        <v>16</v>
      </c>
      <c r="D16" s="4" t="s">
        <v>15</v>
      </c>
      <c r="E16" s="6" t="s">
        <v>17</v>
      </c>
      <c r="F16" s="5" t="s">
        <v>18</v>
      </c>
      <c r="G16" s="6" t="s">
        <v>19</v>
      </c>
      <c r="H16" s="6" t="s">
        <v>20</v>
      </c>
      <c r="I16" s="6" t="s">
        <v>21</v>
      </c>
      <c r="J16" s="5">
        <v>420.0</v>
      </c>
      <c r="K16" s="5">
        <v>0.1608</v>
      </c>
      <c r="L16" s="6">
        <f t="shared" si="1"/>
        <v>0.001785714286</v>
      </c>
      <c r="M16" s="6">
        <f t="shared" si="2"/>
        <v>90.048</v>
      </c>
      <c r="N16" s="9" t="s">
        <v>26</v>
      </c>
    </row>
    <row r="17">
      <c r="A17" s="23" t="s">
        <v>16</v>
      </c>
      <c r="B17" s="19" t="s">
        <v>24</v>
      </c>
      <c r="C17" s="12" t="s">
        <v>16</v>
      </c>
      <c r="D17" s="11" t="s">
        <v>15</v>
      </c>
      <c r="E17" s="13" t="s">
        <v>17</v>
      </c>
      <c r="F17" s="12" t="s">
        <v>18</v>
      </c>
      <c r="G17" s="12" t="s">
        <v>23</v>
      </c>
      <c r="H17" s="13" t="s">
        <v>20</v>
      </c>
      <c r="I17" s="13" t="s">
        <v>21</v>
      </c>
      <c r="J17" s="12">
        <v>-1.439223</v>
      </c>
      <c r="K17" s="12">
        <v>0.4929751</v>
      </c>
      <c r="L17" s="6">
        <f t="shared" si="1"/>
        <v>0.001785714286</v>
      </c>
      <c r="M17" s="13">
        <f t="shared" si="2"/>
        <v>276.066056</v>
      </c>
      <c r="N17" s="21" t="s">
        <v>26</v>
      </c>
    </row>
    <row r="18">
      <c r="A18" s="24" t="s">
        <v>14</v>
      </c>
      <c r="B18" s="25" t="s">
        <v>15</v>
      </c>
      <c r="C18" s="26" t="s">
        <v>16</v>
      </c>
      <c r="D18" s="25" t="s">
        <v>15</v>
      </c>
      <c r="E18" s="26" t="s">
        <v>17</v>
      </c>
      <c r="F18" s="27" t="s">
        <v>30</v>
      </c>
      <c r="G18" s="26" t="s">
        <v>19</v>
      </c>
      <c r="H18" s="26" t="s">
        <v>20</v>
      </c>
      <c r="I18" s="26" t="s">
        <v>21</v>
      </c>
      <c r="J18" s="28">
        <v>900.0</v>
      </c>
      <c r="K18" s="29">
        <v>2.366E-12</v>
      </c>
      <c r="L18" s="6">
        <f t="shared" si="1"/>
        <v>0.001785714286</v>
      </c>
      <c r="M18" s="8">
        <f t="shared" si="2"/>
        <v>0.00000000132496</v>
      </c>
      <c r="N18" s="30" t="s">
        <v>22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14</v>
      </c>
      <c r="B19" s="33" t="s">
        <v>15</v>
      </c>
      <c r="C19" s="34" t="s">
        <v>16</v>
      </c>
      <c r="D19" s="33" t="s">
        <v>15</v>
      </c>
      <c r="E19" s="34" t="s">
        <v>17</v>
      </c>
      <c r="F19" s="35" t="s">
        <v>30</v>
      </c>
      <c r="G19" s="34" t="s">
        <v>23</v>
      </c>
      <c r="H19" s="34" t="s">
        <v>20</v>
      </c>
      <c r="I19" s="34" t="s">
        <v>21</v>
      </c>
      <c r="J19" s="36">
        <v>5.584793</v>
      </c>
      <c r="K19" s="37">
        <v>0.0</v>
      </c>
      <c r="L19" s="6">
        <f t="shared" si="1"/>
        <v>0.001785714286</v>
      </c>
      <c r="M19" s="15">
        <f t="shared" si="2"/>
        <v>0</v>
      </c>
      <c r="N19" s="38" t="s">
        <v>22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4" t="s">
        <v>14</v>
      </c>
      <c r="B20" s="25" t="s">
        <v>15</v>
      </c>
      <c r="C20" s="26" t="s">
        <v>16</v>
      </c>
      <c r="D20" s="25" t="s">
        <v>15</v>
      </c>
      <c r="E20" s="26" t="s">
        <v>28</v>
      </c>
      <c r="F20" s="27" t="s">
        <v>30</v>
      </c>
      <c r="G20" s="26" t="s">
        <v>19</v>
      </c>
      <c r="H20" s="26" t="s">
        <v>20</v>
      </c>
      <c r="I20" s="26" t="s">
        <v>21</v>
      </c>
      <c r="J20" s="28">
        <v>1.0</v>
      </c>
      <c r="K20" s="29">
        <v>2.2E-16</v>
      </c>
      <c r="L20" s="6">
        <f t="shared" si="1"/>
        <v>0.001785714286</v>
      </c>
      <c r="M20" s="8">
        <f t="shared" si="2"/>
        <v>0</v>
      </c>
      <c r="N20" s="30" t="s">
        <v>22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14</v>
      </c>
      <c r="B21" s="33" t="s">
        <v>15</v>
      </c>
      <c r="C21" s="34" t="s">
        <v>16</v>
      </c>
      <c r="D21" s="33" t="s">
        <v>15</v>
      </c>
      <c r="E21" s="34" t="s">
        <v>28</v>
      </c>
      <c r="F21" s="35" t="s">
        <v>30</v>
      </c>
      <c r="G21" s="34" t="s">
        <v>23</v>
      </c>
      <c r="H21" s="34" t="s">
        <v>20</v>
      </c>
      <c r="I21" s="34" t="s">
        <v>21</v>
      </c>
      <c r="J21" s="36">
        <v>-15.07059</v>
      </c>
      <c r="K21" s="37">
        <v>1.99998E-5</v>
      </c>
      <c r="L21" s="6">
        <f t="shared" si="1"/>
        <v>0.001785714286</v>
      </c>
      <c r="M21" s="15">
        <f t="shared" si="2"/>
        <v>0.011199888</v>
      </c>
      <c r="N21" s="38" t="s">
        <v>29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" t="s">
        <v>14</v>
      </c>
      <c r="B22" s="17" t="s">
        <v>24</v>
      </c>
      <c r="C22" s="6" t="s">
        <v>14</v>
      </c>
      <c r="D22" s="4" t="s">
        <v>15</v>
      </c>
      <c r="E22" s="6" t="s">
        <v>28</v>
      </c>
      <c r="F22" s="27" t="s">
        <v>30</v>
      </c>
      <c r="G22" s="26" t="s">
        <v>19</v>
      </c>
      <c r="H22" s="26" t="s">
        <v>20</v>
      </c>
      <c r="I22" s="26" t="s">
        <v>21</v>
      </c>
      <c r="J22" s="28">
        <v>855.5</v>
      </c>
      <c r="K22" s="29">
        <v>8.341E-12</v>
      </c>
      <c r="L22" s="6">
        <f t="shared" si="1"/>
        <v>0.001785714286</v>
      </c>
      <c r="M22" s="8">
        <f t="shared" si="2"/>
        <v>0.00000000467096</v>
      </c>
      <c r="N22" s="30" t="s">
        <v>22</v>
      </c>
    </row>
    <row r="23" ht="15.75" customHeight="1">
      <c r="A23" s="10" t="s">
        <v>14</v>
      </c>
      <c r="B23" s="19" t="s">
        <v>24</v>
      </c>
      <c r="C23" s="13" t="s">
        <v>14</v>
      </c>
      <c r="D23" s="11" t="s">
        <v>15</v>
      </c>
      <c r="E23" s="13" t="s">
        <v>28</v>
      </c>
      <c r="F23" s="35" t="s">
        <v>30</v>
      </c>
      <c r="G23" s="34" t="s">
        <v>23</v>
      </c>
      <c r="H23" s="34" t="s">
        <v>20</v>
      </c>
      <c r="I23" s="34" t="s">
        <v>21</v>
      </c>
      <c r="J23" s="36">
        <v>8.613292</v>
      </c>
      <c r="K23" s="37">
        <v>0.0</v>
      </c>
      <c r="L23" s="6">
        <f t="shared" si="1"/>
        <v>0.001785714286</v>
      </c>
      <c r="M23" s="15">
        <f t="shared" si="2"/>
        <v>0</v>
      </c>
      <c r="N23" s="38" t="s">
        <v>22</v>
      </c>
    </row>
    <row r="24" ht="15.75" customHeight="1">
      <c r="A24" s="22" t="s">
        <v>16</v>
      </c>
      <c r="B24" s="17" t="s">
        <v>24</v>
      </c>
      <c r="C24" s="5" t="s">
        <v>16</v>
      </c>
      <c r="D24" s="4" t="s">
        <v>15</v>
      </c>
      <c r="E24" s="6" t="s">
        <v>28</v>
      </c>
      <c r="F24" s="27" t="s">
        <v>30</v>
      </c>
      <c r="G24" s="26" t="s">
        <v>19</v>
      </c>
      <c r="H24" s="26" t="s">
        <v>20</v>
      </c>
      <c r="I24" s="26" t="s">
        <v>21</v>
      </c>
      <c r="J24" s="28">
        <v>900.0</v>
      </c>
      <c r="K24" s="29">
        <v>1.212E-12</v>
      </c>
      <c r="L24" s="6">
        <f t="shared" si="1"/>
        <v>0.001785714286</v>
      </c>
      <c r="M24" s="8">
        <f t="shared" si="2"/>
        <v>0.00000000067872</v>
      </c>
      <c r="N24" s="30" t="s">
        <v>22</v>
      </c>
    </row>
    <row r="25" ht="15.75" customHeight="1">
      <c r="A25" s="23" t="s">
        <v>16</v>
      </c>
      <c r="B25" s="19" t="s">
        <v>24</v>
      </c>
      <c r="C25" s="12" t="s">
        <v>16</v>
      </c>
      <c r="D25" s="11" t="s">
        <v>15</v>
      </c>
      <c r="E25" s="13" t="s">
        <v>28</v>
      </c>
      <c r="F25" s="35" t="s">
        <v>30</v>
      </c>
      <c r="G25" s="34" t="s">
        <v>23</v>
      </c>
      <c r="H25" s="34" t="s">
        <v>20</v>
      </c>
      <c r="I25" s="34" t="s">
        <v>21</v>
      </c>
      <c r="J25" s="36">
        <v>23.59199</v>
      </c>
      <c r="K25" s="36">
        <v>0.0</v>
      </c>
      <c r="L25" s="6">
        <f t="shared" si="1"/>
        <v>0.001785714286</v>
      </c>
      <c r="M25" s="13">
        <f t="shared" si="2"/>
        <v>0</v>
      </c>
      <c r="N25" s="38" t="s">
        <v>22</v>
      </c>
    </row>
    <row r="26" ht="15.75" customHeight="1">
      <c r="A26" s="3" t="s">
        <v>14</v>
      </c>
      <c r="B26" s="17" t="s">
        <v>24</v>
      </c>
      <c r="C26" s="6" t="s">
        <v>14</v>
      </c>
      <c r="D26" s="4" t="s">
        <v>15</v>
      </c>
      <c r="E26" s="6" t="s">
        <v>17</v>
      </c>
      <c r="F26" s="27" t="s">
        <v>30</v>
      </c>
      <c r="G26" s="26" t="s">
        <v>19</v>
      </c>
      <c r="H26" s="26" t="s">
        <v>20</v>
      </c>
      <c r="I26" s="26" t="s">
        <v>21</v>
      </c>
      <c r="J26" s="28">
        <v>870.0</v>
      </c>
      <c r="K26" s="29">
        <v>2.262E-12</v>
      </c>
      <c r="L26" s="6">
        <f t="shared" si="1"/>
        <v>0.001785714286</v>
      </c>
      <c r="M26" s="8">
        <f t="shared" si="2"/>
        <v>0.00000000126672</v>
      </c>
      <c r="N26" s="30" t="s">
        <v>22</v>
      </c>
    </row>
    <row r="27" ht="15.75" customHeight="1">
      <c r="A27" s="10" t="s">
        <v>14</v>
      </c>
      <c r="B27" s="19" t="s">
        <v>24</v>
      </c>
      <c r="C27" s="13" t="s">
        <v>14</v>
      </c>
      <c r="D27" s="11" t="s">
        <v>15</v>
      </c>
      <c r="E27" s="13" t="s">
        <v>17</v>
      </c>
      <c r="F27" s="35" t="s">
        <v>30</v>
      </c>
      <c r="G27" s="34" t="s">
        <v>23</v>
      </c>
      <c r="H27" s="34" t="s">
        <v>20</v>
      </c>
      <c r="I27" s="34" t="s">
        <v>21</v>
      </c>
      <c r="J27" s="36">
        <v>5.627021</v>
      </c>
      <c r="K27" s="37">
        <v>0.0</v>
      </c>
      <c r="L27" s="6">
        <f t="shared" si="1"/>
        <v>0.001785714286</v>
      </c>
      <c r="M27" s="15">
        <f t="shared" si="2"/>
        <v>0</v>
      </c>
      <c r="N27" s="38" t="s">
        <v>22</v>
      </c>
    </row>
    <row r="28" ht="15.75" customHeight="1">
      <c r="A28" s="22" t="s">
        <v>16</v>
      </c>
      <c r="B28" s="17" t="s">
        <v>24</v>
      </c>
      <c r="C28" s="5" t="s">
        <v>16</v>
      </c>
      <c r="D28" s="4" t="s">
        <v>15</v>
      </c>
      <c r="E28" s="6" t="s">
        <v>17</v>
      </c>
      <c r="F28" s="27" t="s">
        <v>30</v>
      </c>
      <c r="G28" s="26" t="s">
        <v>19</v>
      </c>
      <c r="H28" s="26" t="s">
        <v>20</v>
      </c>
      <c r="I28" s="26" t="s">
        <v>21</v>
      </c>
      <c r="J28" s="28">
        <v>480.0</v>
      </c>
      <c r="K28" s="29">
        <v>0.1608</v>
      </c>
      <c r="L28" s="6">
        <f t="shared" si="1"/>
        <v>0.001785714286</v>
      </c>
      <c r="M28" s="8">
        <f t="shared" si="2"/>
        <v>90.048</v>
      </c>
      <c r="N28" s="30" t="s">
        <v>26</v>
      </c>
    </row>
    <row r="29" ht="15.75" customHeight="1">
      <c r="A29" s="23" t="s">
        <v>16</v>
      </c>
      <c r="B29" s="19" t="s">
        <v>24</v>
      </c>
      <c r="C29" s="12" t="s">
        <v>16</v>
      </c>
      <c r="D29" s="11" t="s">
        <v>15</v>
      </c>
      <c r="E29" s="13" t="s">
        <v>17</v>
      </c>
      <c r="F29" s="35" t="s">
        <v>30</v>
      </c>
      <c r="G29" s="34" t="s">
        <v>23</v>
      </c>
      <c r="H29" s="34" t="s">
        <v>20</v>
      </c>
      <c r="I29" s="34" t="s">
        <v>21</v>
      </c>
      <c r="J29" s="36">
        <v>1.439222</v>
      </c>
      <c r="K29" s="36">
        <v>0.0</v>
      </c>
      <c r="L29" s="6">
        <f t="shared" si="1"/>
        <v>0.001785714286</v>
      </c>
      <c r="M29" s="13">
        <f t="shared" si="2"/>
        <v>0</v>
      </c>
      <c r="N29" s="38" t="s">
        <v>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9.14"/>
    <col customWidth="1" min="3" max="3" width="17.71"/>
    <col customWidth="1" min="4" max="4" width="19.14"/>
    <col customWidth="1" min="5" max="5" width="16.71"/>
    <col customWidth="1" min="6" max="6" width="28.57"/>
    <col customWidth="1" min="7" max="7" width="14.29"/>
    <col customWidth="1" min="8" max="8" width="11.86"/>
    <col customWidth="1" min="9" max="9" width="15.57"/>
    <col customWidth="1" min="10" max="10" width="33.43"/>
    <col customWidth="1" min="11" max="11" width="13.86"/>
    <col customWidth="1" min="12" max="12" width="21.43"/>
    <col customWidth="1" min="13" max="25" width="9.0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6</v>
      </c>
      <c r="G1" s="39" t="s">
        <v>7</v>
      </c>
      <c r="H1" s="39" t="s">
        <v>9</v>
      </c>
      <c r="I1" s="39" t="s">
        <v>10</v>
      </c>
      <c r="J1" s="39" t="s">
        <v>11</v>
      </c>
      <c r="K1" s="39" t="s">
        <v>12</v>
      </c>
      <c r="L1" s="39" t="s">
        <v>13</v>
      </c>
    </row>
    <row r="2">
      <c r="A2" s="40" t="s">
        <v>31</v>
      </c>
      <c r="B2" s="41" t="s">
        <v>24</v>
      </c>
      <c r="C2" s="40" t="s">
        <v>32</v>
      </c>
      <c r="D2" s="41" t="s">
        <v>24</v>
      </c>
      <c r="E2" s="40" t="s">
        <v>17</v>
      </c>
      <c r="F2" s="40" t="s">
        <v>19</v>
      </c>
      <c r="G2" s="40" t="s">
        <v>20</v>
      </c>
      <c r="H2" s="42">
        <v>334.5</v>
      </c>
      <c r="I2" s="42">
        <v>0.008811</v>
      </c>
      <c r="J2" s="40">
        <f t="shared" ref="J2:J25" si="1">0.05/24</f>
        <v>0.002083333333</v>
      </c>
      <c r="K2" s="40">
        <f t="shared" ref="K2:K25" si="2">I2/J2</f>
        <v>4.22928</v>
      </c>
      <c r="L2" s="42" t="s">
        <v>26</v>
      </c>
    </row>
    <row r="3">
      <c r="A3" s="43" t="s">
        <v>31</v>
      </c>
      <c r="B3" s="44" t="s">
        <v>24</v>
      </c>
      <c r="C3" s="43" t="s">
        <v>32</v>
      </c>
      <c r="D3" s="44" t="s">
        <v>24</v>
      </c>
      <c r="E3" s="43" t="s">
        <v>17</v>
      </c>
      <c r="F3" s="45" t="s">
        <v>23</v>
      </c>
      <c r="G3" s="43" t="s">
        <v>20</v>
      </c>
      <c r="H3" s="45">
        <v>0.6903638</v>
      </c>
      <c r="I3" s="45">
        <v>0.7487251</v>
      </c>
      <c r="J3" s="40">
        <f t="shared" si="1"/>
        <v>0.002083333333</v>
      </c>
      <c r="K3" s="43">
        <f t="shared" si="2"/>
        <v>359.388048</v>
      </c>
      <c r="L3" s="45" t="s">
        <v>26</v>
      </c>
    </row>
    <row r="4">
      <c r="A4" s="40" t="s">
        <v>31</v>
      </c>
      <c r="B4" s="41" t="s">
        <v>24</v>
      </c>
      <c r="C4" s="40" t="s">
        <v>33</v>
      </c>
      <c r="D4" s="41" t="s">
        <v>24</v>
      </c>
      <c r="E4" s="40" t="s">
        <v>17</v>
      </c>
      <c r="F4" s="40" t="s">
        <v>19</v>
      </c>
      <c r="G4" s="40" t="s">
        <v>20</v>
      </c>
      <c r="H4" s="42">
        <v>334.5</v>
      </c>
      <c r="I4" s="42">
        <v>0.008811</v>
      </c>
      <c r="J4" s="40">
        <f t="shared" si="1"/>
        <v>0.002083333333</v>
      </c>
      <c r="K4" s="40">
        <f t="shared" si="2"/>
        <v>4.22928</v>
      </c>
      <c r="L4" s="42" t="s">
        <v>26</v>
      </c>
    </row>
    <row r="5">
      <c r="A5" s="43" t="s">
        <v>31</v>
      </c>
      <c r="B5" s="44" t="s">
        <v>24</v>
      </c>
      <c r="C5" s="43" t="s">
        <v>33</v>
      </c>
      <c r="D5" s="44" t="s">
        <v>24</v>
      </c>
      <c r="E5" s="43" t="s">
        <v>17</v>
      </c>
      <c r="F5" s="45" t="s">
        <v>23</v>
      </c>
      <c r="G5" s="43" t="s">
        <v>20</v>
      </c>
      <c r="H5" s="45">
        <v>0.7327074</v>
      </c>
      <c r="I5" s="45">
        <v>0.480352</v>
      </c>
      <c r="J5" s="40">
        <f t="shared" si="1"/>
        <v>0.002083333333</v>
      </c>
      <c r="K5" s="43">
        <f t="shared" si="2"/>
        <v>230.56896</v>
      </c>
      <c r="L5" s="45" t="s">
        <v>26</v>
      </c>
    </row>
    <row r="6">
      <c r="A6" s="40" t="s">
        <v>32</v>
      </c>
      <c r="B6" s="41" t="s">
        <v>24</v>
      </c>
      <c r="C6" s="40" t="s">
        <v>33</v>
      </c>
      <c r="D6" s="41" t="s">
        <v>24</v>
      </c>
      <c r="E6" s="40" t="s">
        <v>17</v>
      </c>
      <c r="F6" s="40" t="s">
        <v>19</v>
      </c>
      <c r="G6" s="40" t="s">
        <v>20</v>
      </c>
      <c r="H6" s="42">
        <v>449.5</v>
      </c>
      <c r="I6" s="42">
        <v>1.0</v>
      </c>
      <c r="J6" s="40">
        <f t="shared" si="1"/>
        <v>0.002083333333</v>
      </c>
      <c r="K6" s="40">
        <f t="shared" si="2"/>
        <v>480</v>
      </c>
      <c r="L6" s="42" t="s">
        <v>26</v>
      </c>
    </row>
    <row r="7">
      <c r="A7" s="43" t="s">
        <v>32</v>
      </c>
      <c r="B7" s="44" t="s">
        <v>24</v>
      </c>
      <c r="C7" s="43" t="s">
        <v>33</v>
      </c>
      <c r="D7" s="44" t="s">
        <v>24</v>
      </c>
      <c r="E7" s="43" t="s">
        <v>17</v>
      </c>
      <c r="F7" s="45" t="s">
        <v>23</v>
      </c>
      <c r="G7" s="43" t="s">
        <v>20</v>
      </c>
      <c r="H7" s="45">
        <v>0.02057146</v>
      </c>
      <c r="I7" s="45">
        <v>0.4977502</v>
      </c>
      <c r="J7" s="40">
        <f t="shared" si="1"/>
        <v>0.002083333333</v>
      </c>
      <c r="K7" s="43">
        <f t="shared" si="2"/>
        <v>238.920096</v>
      </c>
      <c r="L7" s="45" t="s">
        <v>26</v>
      </c>
    </row>
    <row r="8">
      <c r="A8" s="40" t="s">
        <v>31</v>
      </c>
      <c r="B8" s="46" t="s">
        <v>15</v>
      </c>
      <c r="C8" s="40" t="s">
        <v>32</v>
      </c>
      <c r="D8" s="46" t="s">
        <v>15</v>
      </c>
      <c r="E8" s="40" t="s">
        <v>17</v>
      </c>
      <c r="F8" s="40" t="s">
        <v>19</v>
      </c>
      <c r="G8" s="40" t="s">
        <v>20</v>
      </c>
      <c r="H8" s="42">
        <v>134.5</v>
      </c>
      <c r="I8" s="47">
        <v>7.638E-7</v>
      </c>
      <c r="J8" s="40">
        <f t="shared" si="1"/>
        <v>0.002083333333</v>
      </c>
      <c r="K8" s="48">
        <f t="shared" si="2"/>
        <v>0.000366624</v>
      </c>
      <c r="L8" s="42" t="s">
        <v>22</v>
      </c>
    </row>
    <row r="9">
      <c r="A9" s="43" t="s">
        <v>31</v>
      </c>
      <c r="B9" s="49" t="s">
        <v>15</v>
      </c>
      <c r="C9" s="43" t="s">
        <v>32</v>
      </c>
      <c r="D9" s="49" t="s">
        <v>15</v>
      </c>
      <c r="E9" s="43" t="s">
        <v>17</v>
      </c>
      <c r="F9" s="45" t="s">
        <v>23</v>
      </c>
      <c r="G9" s="43" t="s">
        <v>20</v>
      </c>
      <c r="H9" s="45">
        <v>5.816881</v>
      </c>
      <c r="I9" s="45">
        <v>0.0</v>
      </c>
      <c r="J9" s="40">
        <f t="shared" si="1"/>
        <v>0.002083333333</v>
      </c>
      <c r="K9" s="43">
        <f t="shared" si="2"/>
        <v>0</v>
      </c>
      <c r="L9" s="45" t="s">
        <v>22</v>
      </c>
    </row>
    <row r="10">
      <c r="A10" s="40" t="s">
        <v>31</v>
      </c>
      <c r="B10" s="46" t="s">
        <v>15</v>
      </c>
      <c r="C10" s="40" t="s">
        <v>33</v>
      </c>
      <c r="D10" s="46" t="s">
        <v>15</v>
      </c>
      <c r="E10" s="40" t="s">
        <v>17</v>
      </c>
      <c r="F10" s="40" t="s">
        <v>19</v>
      </c>
      <c r="G10" s="40" t="s">
        <v>20</v>
      </c>
      <c r="H10" s="42">
        <v>123.0</v>
      </c>
      <c r="I10" s="47">
        <v>2.008E-7</v>
      </c>
      <c r="J10" s="40">
        <f t="shared" si="1"/>
        <v>0.002083333333</v>
      </c>
      <c r="K10" s="48">
        <f t="shared" si="2"/>
        <v>0.000096384</v>
      </c>
      <c r="L10" s="42" t="s">
        <v>22</v>
      </c>
    </row>
    <row r="11">
      <c r="A11" s="43" t="s">
        <v>31</v>
      </c>
      <c r="B11" s="49" t="s">
        <v>15</v>
      </c>
      <c r="C11" s="43" t="s">
        <v>33</v>
      </c>
      <c r="D11" s="49" t="s">
        <v>15</v>
      </c>
      <c r="E11" s="43" t="s">
        <v>17</v>
      </c>
      <c r="F11" s="45" t="s">
        <v>23</v>
      </c>
      <c r="G11" s="43" t="s">
        <v>20</v>
      </c>
      <c r="H11" s="45">
        <v>6.016777</v>
      </c>
      <c r="I11" s="45">
        <v>0.0</v>
      </c>
      <c r="J11" s="40">
        <f t="shared" si="1"/>
        <v>0.002083333333</v>
      </c>
      <c r="K11" s="43">
        <f t="shared" si="2"/>
        <v>0</v>
      </c>
      <c r="L11" s="45" t="s">
        <v>22</v>
      </c>
    </row>
    <row r="12">
      <c r="A12" s="40" t="s">
        <v>32</v>
      </c>
      <c r="B12" s="46" t="s">
        <v>15</v>
      </c>
      <c r="C12" s="40" t="s">
        <v>33</v>
      </c>
      <c r="D12" s="46" t="s">
        <v>15</v>
      </c>
      <c r="E12" s="40" t="s">
        <v>17</v>
      </c>
      <c r="F12" s="40" t="s">
        <v>19</v>
      </c>
      <c r="G12" s="40" t="s">
        <v>20</v>
      </c>
      <c r="H12" s="42">
        <v>419.0</v>
      </c>
      <c r="I12" s="42">
        <v>0.5186</v>
      </c>
      <c r="J12" s="40">
        <f t="shared" si="1"/>
        <v>0.002083333333</v>
      </c>
      <c r="K12" s="40">
        <f t="shared" si="2"/>
        <v>248.928</v>
      </c>
      <c r="L12" s="42" t="s">
        <v>26</v>
      </c>
    </row>
    <row r="13">
      <c r="A13" s="43" t="s">
        <v>32</v>
      </c>
      <c r="B13" s="49" t="s">
        <v>15</v>
      </c>
      <c r="C13" s="43" t="s">
        <v>33</v>
      </c>
      <c r="D13" s="49" t="s">
        <v>15</v>
      </c>
      <c r="E13" s="43" t="s">
        <v>17</v>
      </c>
      <c r="F13" s="45" t="s">
        <v>23</v>
      </c>
      <c r="G13" s="43" t="s">
        <v>20</v>
      </c>
      <c r="H13" s="45">
        <v>0.2930822</v>
      </c>
      <c r="I13" s="45">
        <v>0.7615238</v>
      </c>
      <c r="J13" s="40">
        <f t="shared" si="1"/>
        <v>0.002083333333</v>
      </c>
      <c r="K13" s="43">
        <f t="shared" si="2"/>
        <v>365.531424</v>
      </c>
      <c r="L13" s="45" t="s">
        <v>26</v>
      </c>
    </row>
    <row r="14">
      <c r="A14" s="40" t="s">
        <v>31</v>
      </c>
      <c r="B14" s="41" t="s">
        <v>24</v>
      </c>
      <c r="C14" s="40" t="s">
        <v>32</v>
      </c>
      <c r="D14" s="41" t="s">
        <v>24</v>
      </c>
      <c r="E14" s="40" t="s">
        <v>28</v>
      </c>
      <c r="F14" s="40" t="s">
        <v>19</v>
      </c>
      <c r="G14" s="40" t="s">
        <v>20</v>
      </c>
      <c r="H14" s="42">
        <v>896.5</v>
      </c>
      <c r="I14" s="47">
        <v>3.949E-11</v>
      </c>
      <c r="J14" s="40">
        <f t="shared" si="1"/>
        <v>0.002083333333</v>
      </c>
      <c r="K14" s="48">
        <f t="shared" si="2"/>
        <v>0.0000000189552</v>
      </c>
      <c r="L14" s="42" t="s">
        <v>22</v>
      </c>
    </row>
    <row r="15">
      <c r="A15" s="43" t="s">
        <v>31</v>
      </c>
      <c r="B15" s="44" t="s">
        <v>24</v>
      </c>
      <c r="C15" s="43" t="s">
        <v>32</v>
      </c>
      <c r="D15" s="44" t="s">
        <v>24</v>
      </c>
      <c r="E15" s="43" t="s">
        <v>28</v>
      </c>
      <c r="F15" s="45" t="s">
        <v>23</v>
      </c>
      <c r="G15" s="43" t="s">
        <v>20</v>
      </c>
      <c r="H15" s="45">
        <v>13.31173</v>
      </c>
      <c r="I15" s="45">
        <v>0.0</v>
      </c>
      <c r="J15" s="40">
        <f t="shared" si="1"/>
        <v>0.002083333333</v>
      </c>
      <c r="K15" s="43">
        <f t="shared" si="2"/>
        <v>0</v>
      </c>
      <c r="L15" s="45" t="s">
        <v>22</v>
      </c>
    </row>
    <row r="16">
      <c r="A16" s="40" t="s">
        <v>31</v>
      </c>
      <c r="B16" s="41" t="s">
        <v>24</v>
      </c>
      <c r="C16" s="40" t="s">
        <v>33</v>
      </c>
      <c r="D16" s="41" t="s">
        <v>24</v>
      </c>
      <c r="E16" s="40" t="s">
        <v>28</v>
      </c>
      <c r="F16" s="40" t="s">
        <v>19</v>
      </c>
      <c r="G16" s="40" t="s">
        <v>20</v>
      </c>
      <c r="H16" s="42">
        <v>864.0</v>
      </c>
      <c r="I16" s="47">
        <v>7.797E-10</v>
      </c>
      <c r="J16" s="40">
        <f t="shared" si="1"/>
        <v>0.002083333333</v>
      </c>
      <c r="K16" s="48">
        <f t="shared" si="2"/>
        <v>0.000000374256</v>
      </c>
      <c r="L16" s="42" t="s">
        <v>22</v>
      </c>
    </row>
    <row r="17" ht="15.75" customHeight="1">
      <c r="A17" s="43" t="s">
        <v>31</v>
      </c>
      <c r="B17" s="44" t="s">
        <v>24</v>
      </c>
      <c r="C17" s="43" t="s">
        <v>33</v>
      </c>
      <c r="D17" s="44" t="s">
        <v>24</v>
      </c>
      <c r="E17" s="43" t="s">
        <v>28</v>
      </c>
      <c r="F17" s="45" t="s">
        <v>23</v>
      </c>
      <c r="G17" s="43" t="s">
        <v>20</v>
      </c>
      <c r="H17" s="45">
        <v>-8.744559</v>
      </c>
      <c r="I17" s="45">
        <v>1.9998E-4</v>
      </c>
      <c r="J17" s="40">
        <f t="shared" si="1"/>
        <v>0.002083333333</v>
      </c>
      <c r="K17" s="43">
        <f t="shared" si="2"/>
        <v>0.0959904</v>
      </c>
      <c r="L17" s="45" t="s">
        <v>29</v>
      </c>
    </row>
    <row r="18" ht="15.75" customHeight="1">
      <c r="A18" s="40" t="s">
        <v>32</v>
      </c>
      <c r="B18" s="41" t="s">
        <v>24</v>
      </c>
      <c r="C18" s="40" t="s">
        <v>33</v>
      </c>
      <c r="D18" s="41" t="s">
        <v>24</v>
      </c>
      <c r="E18" s="40" t="s">
        <v>28</v>
      </c>
      <c r="F18" s="40" t="s">
        <v>19</v>
      </c>
      <c r="G18" s="40" t="s">
        <v>20</v>
      </c>
      <c r="H18" s="42">
        <v>900.0</v>
      </c>
      <c r="I18" s="47">
        <v>2.434E-11</v>
      </c>
      <c r="J18" s="40">
        <f t="shared" si="1"/>
        <v>0.002083333333</v>
      </c>
      <c r="K18" s="48">
        <f t="shared" si="2"/>
        <v>0.0000000116832</v>
      </c>
      <c r="L18" s="42" t="s">
        <v>22</v>
      </c>
    </row>
    <row r="19" ht="15.75" customHeight="1">
      <c r="A19" s="43" t="s">
        <v>32</v>
      </c>
      <c r="B19" s="44" t="s">
        <v>24</v>
      </c>
      <c r="C19" s="43" t="s">
        <v>33</v>
      </c>
      <c r="D19" s="44" t="s">
        <v>24</v>
      </c>
      <c r="E19" s="43" t="s">
        <v>28</v>
      </c>
      <c r="F19" s="45" t="s">
        <v>23</v>
      </c>
      <c r="G19" s="43" t="s">
        <v>20</v>
      </c>
      <c r="H19" s="45">
        <v>-22.95434</v>
      </c>
      <c r="I19" s="45">
        <v>1.9998E-4</v>
      </c>
      <c r="J19" s="40">
        <f t="shared" si="1"/>
        <v>0.002083333333</v>
      </c>
      <c r="K19" s="43">
        <f t="shared" si="2"/>
        <v>0.0959904</v>
      </c>
      <c r="L19" s="45" t="s">
        <v>29</v>
      </c>
    </row>
    <row r="20" ht="15.75" customHeight="1">
      <c r="A20" s="40" t="s">
        <v>31</v>
      </c>
      <c r="B20" s="46" t="s">
        <v>15</v>
      </c>
      <c r="C20" s="40" t="s">
        <v>32</v>
      </c>
      <c r="D20" s="46" t="s">
        <v>15</v>
      </c>
      <c r="E20" s="40" t="s">
        <v>28</v>
      </c>
      <c r="F20" s="40" t="s">
        <v>19</v>
      </c>
      <c r="G20" s="40" t="s">
        <v>20</v>
      </c>
      <c r="H20" s="42">
        <v>165.0</v>
      </c>
      <c r="I20" s="47">
        <v>2.597E-5</v>
      </c>
      <c r="J20" s="40">
        <f t="shared" si="1"/>
        <v>0.002083333333</v>
      </c>
      <c r="K20" s="48">
        <f t="shared" si="2"/>
        <v>0.0124656</v>
      </c>
      <c r="L20" s="42" t="s">
        <v>29</v>
      </c>
    </row>
    <row r="21" ht="15.75" customHeight="1">
      <c r="A21" s="43" t="s">
        <v>31</v>
      </c>
      <c r="B21" s="49" t="s">
        <v>15</v>
      </c>
      <c r="C21" s="43" t="s">
        <v>32</v>
      </c>
      <c r="D21" s="49" t="s">
        <v>15</v>
      </c>
      <c r="E21" s="43" t="s">
        <v>28</v>
      </c>
      <c r="F21" s="45" t="s">
        <v>23</v>
      </c>
      <c r="G21" s="43" t="s">
        <v>20</v>
      </c>
      <c r="H21" s="45">
        <v>5.067972</v>
      </c>
      <c r="I21" s="45">
        <v>0.0</v>
      </c>
      <c r="J21" s="40">
        <f t="shared" si="1"/>
        <v>0.002083333333</v>
      </c>
      <c r="K21" s="43">
        <f t="shared" si="2"/>
        <v>0</v>
      </c>
      <c r="L21" s="45" t="s">
        <v>29</v>
      </c>
    </row>
    <row r="22" ht="15.75" customHeight="1">
      <c r="A22" s="50" t="s">
        <v>31</v>
      </c>
      <c r="B22" s="51" t="s">
        <v>15</v>
      </c>
      <c r="C22" s="50" t="s">
        <v>33</v>
      </c>
      <c r="D22" s="51" t="s">
        <v>15</v>
      </c>
      <c r="E22" s="50" t="s">
        <v>28</v>
      </c>
      <c r="F22" s="50" t="s">
        <v>19</v>
      </c>
      <c r="G22" s="50" t="s">
        <v>20</v>
      </c>
      <c r="H22" s="42">
        <v>588.5</v>
      </c>
      <c r="I22" s="42">
        <v>0.04131</v>
      </c>
      <c r="J22" s="40">
        <f t="shared" si="1"/>
        <v>0.002083333333</v>
      </c>
      <c r="K22" s="50">
        <f t="shared" si="2"/>
        <v>19.8288</v>
      </c>
      <c r="L22" s="42" t="s">
        <v>26</v>
      </c>
    </row>
    <row r="23" ht="15.75" customHeight="1">
      <c r="A23" s="52" t="s">
        <v>31</v>
      </c>
      <c r="B23" s="53" t="s">
        <v>15</v>
      </c>
      <c r="C23" s="52" t="s">
        <v>33</v>
      </c>
      <c r="D23" s="53" t="s">
        <v>15</v>
      </c>
      <c r="E23" s="52" t="s">
        <v>28</v>
      </c>
      <c r="F23" s="45" t="s">
        <v>23</v>
      </c>
      <c r="G23" s="52" t="s">
        <v>20</v>
      </c>
      <c r="H23" s="45">
        <v>-2.139303</v>
      </c>
      <c r="I23" s="45">
        <v>0.03779622</v>
      </c>
      <c r="J23" s="40">
        <f t="shared" si="1"/>
        <v>0.002083333333</v>
      </c>
      <c r="K23" s="52">
        <f t="shared" si="2"/>
        <v>18.1421856</v>
      </c>
      <c r="L23" s="45" t="s">
        <v>26</v>
      </c>
    </row>
    <row r="24" ht="15.75" customHeight="1">
      <c r="A24" s="50" t="s">
        <v>32</v>
      </c>
      <c r="B24" s="51" t="s">
        <v>15</v>
      </c>
      <c r="C24" s="50" t="s">
        <v>33</v>
      </c>
      <c r="D24" s="51" t="s">
        <v>15</v>
      </c>
      <c r="E24" s="50" t="s">
        <v>28</v>
      </c>
      <c r="F24" s="50" t="s">
        <v>19</v>
      </c>
      <c r="G24" s="50" t="s">
        <v>20</v>
      </c>
      <c r="H24" s="42">
        <v>832.0</v>
      </c>
      <c r="I24" s="47">
        <v>1.697E-8</v>
      </c>
      <c r="J24" s="40">
        <f t="shared" si="1"/>
        <v>0.002083333333</v>
      </c>
      <c r="K24" s="48">
        <f t="shared" si="2"/>
        <v>0.0000081456</v>
      </c>
      <c r="L24" s="42" t="s">
        <v>22</v>
      </c>
    </row>
    <row r="25" ht="15.75" customHeight="1">
      <c r="A25" s="52" t="s">
        <v>32</v>
      </c>
      <c r="B25" s="53" t="s">
        <v>15</v>
      </c>
      <c r="C25" s="52" t="s">
        <v>33</v>
      </c>
      <c r="D25" s="53" t="s">
        <v>15</v>
      </c>
      <c r="E25" s="52" t="s">
        <v>28</v>
      </c>
      <c r="F25" s="45" t="s">
        <v>23</v>
      </c>
      <c r="G25" s="52" t="s">
        <v>20</v>
      </c>
      <c r="H25" s="45">
        <v>-7.572636</v>
      </c>
      <c r="I25" s="45">
        <v>1.9998E-4</v>
      </c>
      <c r="J25" s="40">
        <f t="shared" si="1"/>
        <v>0.002083333333</v>
      </c>
      <c r="K25" s="52">
        <f t="shared" si="2"/>
        <v>0.0959904</v>
      </c>
      <c r="L25" s="45" t="s">
        <v>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25">
      <formula1>"wilcox,permutation (welch)"</formula1>
    </dataValidation>
    <dataValidation type="list" allowBlank="1" showErrorMessage="1" sqref="E2:E25">
      <formula1>"precision,recall"</formula1>
    </dataValidation>
    <dataValidation type="list" allowBlank="1" showErrorMessage="1" sqref="D2:D25">
      <formula1>"snpmutator,maketube"</formula1>
    </dataValidation>
    <dataValidation type="list" allowBlank="1" showErrorMessage="1" sqref="C2:C25">
      <formula1>"TBprofiler,genotube"</formula1>
    </dataValidation>
    <dataValidation type="list" allowBlank="1" showErrorMessage="1" sqref="A2:A25">
      <formula1>"MTBseq,TBprofiler"</formula1>
    </dataValidation>
    <dataValidation type="list" allowBlank="1" showErrorMessage="1" sqref="B2:B25">
      <formula1>"snpmutator,maketube"</formula1>
    </dataValidation>
    <dataValidation type="list" allowBlank="1" showErrorMessage="1" sqref="L2:L25">
      <formula1>"-,data constant,***,**"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0.86"/>
    <col customWidth="1" min="3" max="3" width="16.43"/>
    <col customWidth="1" min="4" max="4" width="20.71"/>
    <col customWidth="1" min="5" max="5" width="33.43"/>
    <col customWidth="1" min="6" max="6" width="13.86"/>
    <col customWidth="1" min="7" max="7" width="22.71"/>
    <col customWidth="1" hidden="1" min="8" max="8" width="8.43"/>
    <col customWidth="1" hidden="1" min="9" max="9" width="13.14"/>
    <col customWidth="1" min="10" max="11" width="13.86"/>
    <col customWidth="1" min="12" max="12" width="22.29"/>
    <col customWidth="1" min="13" max="13" width="13.86"/>
    <col customWidth="1" min="14" max="14" width="17.0"/>
    <col customWidth="1" min="15" max="15" width="20.0"/>
    <col customWidth="1" min="16" max="26" width="9.0"/>
  </cols>
  <sheetData>
    <row r="1">
      <c r="A1" s="54" t="s">
        <v>34</v>
      </c>
      <c r="B1" s="55" t="s">
        <v>4</v>
      </c>
      <c r="C1" s="56" t="s">
        <v>35</v>
      </c>
      <c r="D1" s="55" t="s">
        <v>36</v>
      </c>
      <c r="E1" s="56" t="s">
        <v>37</v>
      </c>
      <c r="F1" s="55" t="s">
        <v>38</v>
      </c>
      <c r="G1" s="56" t="s">
        <v>39</v>
      </c>
      <c r="H1" s="57" t="s">
        <v>40</v>
      </c>
      <c r="I1" s="57" t="s">
        <v>9</v>
      </c>
      <c r="J1" s="57" t="s">
        <v>9</v>
      </c>
      <c r="K1" s="55" t="s">
        <v>10</v>
      </c>
      <c r="L1" s="56" t="s">
        <v>41</v>
      </c>
      <c r="M1" s="57" t="s">
        <v>12</v>
      </c>
      <c r="N1" s="57" t="s">
        <v>13</v>
      </c>
      <c r="O1" s="55" t="s">
        <v>42</v>
      </c>
    </row>
    <row r="2">
      <c r="A2" s="58" t="s">
        <v>43</v>
      </c>
      <c r="B2" s="59" t="s">
        <v>17</v>
      </c>
      <c r="C2" s="60" t="s">
        <v>44</v>
      </c>
      <c r="D2" s="59" t="s">
        <v>45</v>
      </c>
      <c r="E2" s="60" t="s">
        <v>46</v>
      </c>
      <c r="F2" s="59" t="s">
        <v>45</v>
      </c>
      <c r="G2" s="60" t="s">
        <v>19</v>
      </c>
      <c r="H2" s="61" t="s">
        <v>47</v>
      </c>
      <c r="I2" s="61">
        <v>10791.0</v>
      </c>
      <c r="J2" s="61">
        <v>10791.0</v>
      </c>
      <c r="K2" s="59">
        <v>1.0</v>
      </c>
      <c r="L2" s="60">
        <f>0.05/16</f>
        <v>0.003125</v>
      </c>
      <c r="M2" s="61">
        <f>K2/L2</f>
        <v>320</v>
      </c>
      <c r="N2" s="61" t="s">
        <v>26</v>
      </c>
      <c r="O2" s="59" t="s">
        <v>48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3" t="s">
        <v>43</v>
      </c>
      <c r="B3" s="64" t="s">
        <v>17</v>
      </c>
      <c r="C3" s="65" t="s">
        <v>44</v>
      </c>
      <c r="D3" s="64" t="s">
        <v>45</v>
      </c>
      <c r="E3" s="65" t="s">
        <v>46</v>
      </c>
      <c r="F3" s="64" t="s">
        <v>45</v>
      </c>
      <c r="G3" s="65" t="s">
        <v>49</v>
      </c>
      <c r="H3" s="66" t="s">
        <v>47</v>
      </c>
      <c r="I3" s="66" t="s">
        <v>25</v>
      </c>
      <c r="J3" s="66" t="s">
        <v>25</v>
      </c>
      <c r="K3" s="64" t="s">
        <v>25</v>
      </c>
      <c r="L3" s="65">
        <v>0.003125</v>
      </c>
      <c r="M3" s="66" t="str">
        <f>L3/K3</f>
        <v>#VALUE!</v>
      </c>
      <c r="N3" s="66" t="s">
        <v>26</v>
      </c>
      <c r="O3" s="64" t="s">
        <v>48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58" t="s">
        <v>43</v>
      </c>
      <c r="B4" s="59" t="s">
        <v>28</v>
      </c>
      <c r="C4" s="60" t="s">
        <v>44</v>
      </c>
      <c r="D4" s="59" t="s">
        <v>45</v>
      </c>
      <c r="E4" s="60" t="s">
        <v>46</v>
      </c>
      <c r="F4" s="59" t="s">
        <v>45</v>
      </c>
      <c r="G4" s="60" t="s">
        <v>19</v>
      </c>
      <c r="H4" s="61" t="s">
        <v>47</v>
      </c>
      <c r="I4" s="61">
        <v>11024.0</v>
      </c>
      <c r="J4" s="61">
        <v>11024.0</v>
      </c>
      <c r="K4" s="59">
        <v>0.8162</v>
      </c>
      <c r="L4" s="60">
        <f>0.05/16</f>
        <v>0.003125</v>
      </c>
      <c r="M4" s="61">
        <f t="shared" ref="M4:M6" si="1">K4/L4</f>
        <v>261.184</v>
      </c>
      <c r="N4" s="61" t="s">
        <v>26</v>
      </c>
      <c r="O4" s="59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3" t="s">
        <v>43</v>
      </c>
      <c r="B5" s="64" t="s">
        <v>28</v>
      </c>
      <c r="C5" s="65" t="s">
        <v>44</v>
      </c>
      <c r="D5" s="64" t="s">
        <v>45</v>
      </c>
      <c r="E5" s="65" t="s">
        <v>46</v>
      </c>
      <c r="F5" s="64" t="s">
        <v>45</v>
      </c>
      <c r="G5" s="65" t="s">
        <v>49</v>
      </c>
      <c r="H5" s="66" t="s">
        <v>47</v>
      </c>
      <c r="I5" s="66">
        <v>-0.5474449</v>
      </c>
      <c r="J5" s="66">
        <v>-0.5474449</v>
      </c>
      <c r="K5" s="64">
        <v>0.2752725</v>
      </c>
      <c r="L5" s="65">
        <v>0.003125</v>
      </c>
      <c r="M5" s="66">
        <f t="shared" si="1"/>
        <v>88.0872</v>
      </c>
      <c r="N5" s="66" t="s">
        <v>26</v>
      </c>
      <c r="O5" s="64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58" t="s">
        <v>50</v>
      </c>
      <c r="B6" s="59" t="s">
        <v>17</v>
      </c>
      <c r="C6" s="60" t="s">
        <v>44</v>
      </c>
      <c r="D6" s="59" t="s">
        <v>45</v>
      </c>
      <c r="E6" s="60" t="s">
        <v>46</v>
      </c>
      <c r="F6" s="59" t="s">
        <v>45</v>
      </c>
      <c r="G6" s="60" t="s">
        <v>19</v>
      </c>
      <c r="H6" s="61" t="s">
        <v>47</v>
      </c>
      <c r="I6" s="61">
        <v>10791.0</v>
      </c>
      <c r="J6" s="61">
        <v>10791.0</v>
      </c>
      <c r="K6" s="59">
        <v>1.0</v>
      </c>
      <c r="L6" s="60">
        <f>0.05/16</f>
        <v>0.003125</v>
      </c>
      <c r="M6" s="61">
        <f t="shared" si="1"/>
        <v>320</v>
      </c>
      <c r="N6" s="61" t="s">
        <v>26</v>
      </c>
      <c r="O6" s="59" t="s">
        <v>48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3" t="s">
        <v>50</v>
      </c>
      <c r="B7" s="64" t="s">
        <v>17</v>
      </c>
      <c r="C7" s="65" t="s">
        <v>44</v>
      </c>
      <c r="D7" s="64" t="s">
        <v>45</v>
      </c>
      <c r="E7" s="65" t="s">
        <v>46</v>
      </c>
      <c r="F7" s="64" t="s">
        <v>45</v>
      </c>
      <c r="G7" s="65" t="s">
        <v>49</v>
      </c>
      <c r="H7" s="66" t="s">
        <v>47</v>
      </c>
      <c r="I7" s="66" t="s">
        <v>25</v>
      </c>
      <c r="J7" s="66" t="s">
        <v>25</v>
      </c>
      <c r="K7" s="64" t="s">
        <v>25</v>
      </c>
      <c r="L7" s="65">
        <v>0.003125</v>
      </c>
      <c r="M7" s="66" t="str">
        <f>L7/K7</f>
        <v>#VALUE!</v>
      </c>
      <c r="N7" s="66" t="s">
        <v>26</v>
      </c>
      <c r="O7" s="64" t="s">
        <v>48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58" t="s">
        <v>50</v>
      </c>
      <c r="B8" s="59" t="s">
        <v>28</v>
      </c>
      <c r="C8" s="60" t="s">
        <v>44</v>
      </c>
      <c r="D8" s="59" t="s">
        <v>45</v>
      </c>
      <c r="E8" s="60" t="s">
        <v>46</v>
      </c>
      <c r="F8" s="59" t="s">
        <v>45</v>
      </c>
      <c r="G8" s="60" t="s">
        <v>19</v>
      </c>
      <c r="H8" s="61" t="s">
        <v>47</v>
      </c>
      <c r="I8" s="61">
        <v>11336.0</v>
      </c>
      <c r="J8" s="61">
        <v>11232.0</v>
      </c>
      <c r="K8" s="59">
        <v>0.9914</v>
      </c>
      <c r="L8" s="60">
        <f>0.05/16</f>
        <v>0.003125</v>
      </c>
      <c r="M8" s="61">
        <f t="shared" ref="M8:M10" si="2">K8/L8</f>
        <v>317.248</v>
      </c>
      <c r="N8" s="61" t="s">
        <v>26</v>
      </c>
      <c r="O8" s="67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3" t="s">
        <v>50</v>
      </c>
      <c r="B9" s="64" t="s">
        <v>28</v>
      </c>
      <c r="C9" s="65" t="s">
        <v>44</v>
      </c>
      <c r="D9" s="64" t="s">
        <v>45</v>
      </c>
      <c r="E9" s="65" t="s">
        <v>46</v>
      </c>
      <c r="F9" s="64" t="s">
        <v>45</v>
      </c>
      <c r="G9" s="65" t="s">
        <v>49</v>
      </c>
      <c r="H9" s="66" t="s">
        <v>47</v>
      </c>
      <c r="I9" s="66">
        <v>2.947931</v>
      </c>
      <c r="J9" s="66">
        <v>1.160624</v>
      </c>
      <c r="K9" s="64">
        <v>0.8254917</v>
      </c>
      <c r="L9" s="65">
        <v>0.003125</v>
      </c>
      <c r="M9" s="66">
        <f t="shared" si="2"/>
        <v>264.157344</v>
      </c>
      <c r="N9" s="66" t="s">
        <v>26</v>
      </c>
      <c r="O9" s="68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58" t="s">
        <v>43</v>
      </c>
      <c r="B10" s="59" t="s">
        <v>17</v>
      </c>
      <c r="C10" s="60" t="s">
        <v>44</v>
      </c>
      <c r="D10" s="59" t="s">
        <v>45</v>
      </c>
      <c r="E10" s="60" t="s">
        <v>51</v>
      </c>
      <c r="F10" s="59" t="s">
        <v>52</v>
      </c>
      <c r="G10" s="60" t="s">
        <v>19</v>
      </c>
      <c r="H10" s="61" t="s">
        <v>47</v>
      </c>
      <c r="I10" s="61">
        <v>17127.0</v>
      </c>
      <c r="J10" s="61">
        <v>17127.0</v>
      </c>
      <c r="K10" s="59">
        <v>1.0</v>
      </c>
      <c r="L10" s="60">
        <f>0.05/16</f>
        <v>0.003125</v>
      </c>
      <c r="M10" s="61">
        <f t="shared" si="2"/>
        <v>320</v>
      </c>
      <c r="N10" s="61" t="s">
        <v>26</v>
      </c>
      <c r="O10" s="59" t="s">
        <v>48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3" t="s">
        <v>43</v>
      </c>
      <c r="B11" s="64" t="s">
        <v>17</v>
      </c>
      <c r="C11" s="65" t="s">
        <v>44</v>
      </c>
      <c r="D11" s="64" t="s">
        <v>45</v>
      </c>
      <c r="E11" s="65" t="s">
        <v>51</v>
      </c>
      <c r="F11" s="64" t="s">
        <v>52</v>
      </c>
      <c r="G11" s="65" t="s">
        <v>49</v>
      </c>
      <c r="H11" s="66" t="s">
        <v>47</v>
      </c>
      <c r="I11" s="66" t="s">
        <v>25</v>
      </c>
      <c r="J11" s="66" t="s">
        <v>25</v>
      </c>
      <c r="K11" s="64" t="s">
        <v>25</v>
      </c>
      <c r="L11" s="65">
        <v>0.003125</v>
      </c>
      <c r="M11" s="66" t="str">
        <f>L11/K11</f>
        <v>#VALUE!</v>
      </c>
      <c r="N11" s="66" t="s">
        <v>26</v>
      </c>
      <c r="O11" s="64" t="s">
        <v>48</v>
      </c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58" t="s">
        <v>43</v>
      </c>
      <c r="B12" s="59" t="s">
        <v>28</v>
      </c>
      <c r="C12" s="60" t="s">
        <v>44</v>
      </c>
      <c r="D12" s="59" t="s">
        <v>45</v>
      </c>
      <c r="E12" s="60" t="s">
        <v>51</v>
      </c>
      <c r="F12" s="59" t="s">
        <v>52</v>
      </c>
      <c r="G12" s="60" t="s">
        <v>19</v>
      </c>
      <c r="H12" s="61" t="s">
        <v>47</v>
      </c>
      <c r="I12" s="61">
        <v>13056.0</v>
      </c>
      <c r="J12" s="69">
        <v>13056.0</v>
      </c>
      <c r="K12" s="70">
        <v>2.039E-10</v>
      </c>
      <c r="L12" s="60">
        <f>0.05/16</f>
        <v>0.003125</v>
      </c>
      <c r="M12" s="69">
        <f t="shared" ref="M12:M14" si="3">K12/L12</f>
        <v>0.000000065248</v>
      </c>
      <c r="N12" s="61" t="s">
        <v>22</v>
      </c>
      <c r="O12" s="67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3" t="s">
        <v>43</v>
      </c>
      <c r="B13" s="64" t="s">
        <v>28</v>
      </c>
      <c r="C13" s="65" t="s">
        <v>44</v>
      </c>
      <c r="D13" s="64" t="s">
        <v>45</v>
      </c>
      <c r="E13" s="65" t="s">
        <v>51</v>
      </c>
      <c r="F13" s="64" t="s">
        <v>52</v>
      </c>
      <c r="G13" s="65" t="s">
        <v>49</v>
      </c>
      <c r="H13" s="66" t="s">
        <v>47</v>
      </c>
      <c r="I13" s="66">
        <v>-6.546956</v>
      </c>
      <c r="J13" s="71">
        <v>-6.546956</v>
      </c>
      <c r="K13" s="72">
        <v>9.999E-5</v>
      </c>
      <c r="L13" s="65">
        <v>0.003125</v>
      </c>
      <c r="M13" s="71">
        <f t="shared" si="3"/>
        <v>0.0319968</v>
      </c>
      <c r="N13" s="66" t="s">
        <v>29</v>
      </c>
      <c r="O13" s="68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58" t="s">
        <v>50</v>
      </c>
      <c r="B14" s="59" t="s">
        <v>17</v>
      </c>
      <c r="C14" s="60" t="s">
        <v>44</v>
      </c>
      <c r="D14" s="59" t="s">
        <v>45</v>
      </c>
      <c r="E14" s="60" t="s">
        <v>51</v>
      </c>
      <c r="F14" s="59" t="s">
        <v>52</v>
      </c>
      <c r="G14" s="60" t="s">
        <v>19</v>
      </c>
      <c r="H14" s="61" t="s">
        <v>47</v>
      </c>
      <c r="I14" s="61">
        <v>17127.0</v>
      </c>
      <c r="J14" s="61">
        <v>17127.0</v>
      </c>
      <c r="K14" s="59">
        <v>1.0</v>
      </c>
      <c r="L14" s="60">
        <f>0.05/16</f>
        <v>0.003125</v>
      </c>
      <c r="M14" s="61">
        <f t="shared" si="3"/>
        <v>320</v>
      </c>
      <c r="N14" s="61" t="s">
        <v>26</v>
      </c>
      <c r="O14" s="59" t="s">
        <v>48</v>
      </c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3" t="s">
        <v>50</v>
      </c>
      <c r="B15" s="64" t="s">
        <v>17</v>
      </c>
      <c r="C15" s="65" t="s">
        <v>44</v>
      </c>
      <c r="D15" s="64" t="s">
        <v>45</v>
      </c>
      <c r="E15" s="65" t="s">
        <v>51</v>
      </c>
      <c r="F15" s="64" t="s">
        <v>52</v>
      </c>
      <c r="G15" s="65" t="s">
        <v>49</v>
      </c>
      <c r="H15" s="66" t="s">
        <v>47</v>
      </c>
      <c r="I15" s="66" t="s">
        <v>25</v>
      </c>
      <c r="J15" s="66" t="s">
        <v>25</v>
      </c>
      <c r="K15" s="64" t="s">
        <v>25</v>
      </c>
      <c r="L15" s="65">
        <v>0.003125</v>
      </c>
      <c r="M15" s="66" t="str">
        <f>L15/K15</f>
        <v>#VALUE!</v>
      </c>
      <c r="N15" s="66" t="s">
        <v>26</v>
      </c>
      <c r="O15" s="64" t="s">
        <v>48</v>
      </c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58" t="s">
        <v>50</v>
      </c>
      <c r="B16" s="59" t="s">
        <v>28</v>
      </c>
      <c r="C16" s="60" t="s">
        <v>44</v>
      </c>
      <c r="D16" s="59" t="s">
        <v>45</v>
      </c>
      <c r="E16" s="60" t="s">
        <v>51</v>
      </c>
      <c r="F16" s="59" t="s">
        <v>52</v>
      </c>
      <c r="G16" s="60" t="s">
        <v>19</v>
      </c>
      <c r="H16" s="61" t="s">
        <v>47</v>
      </c>
      <c r="I16" s="61">
        <v>13560.0</v>
      </c>
      <c r="J16" s="69">
        <v>13560.0</v>
      </c>
      <c r="K16" s="70">
        <v>6.388E-9</v>
      </c>
      <c r="L16" s="60">
        <f>0.05/16</f>
        <v>0.003125</v>
      </c>
      <c r="M16" s="69">
        <f t="shared" ref="M16:M18" si="4">K16/L16</f>
        <v>0.00000204416</v>
      </c>
      <c r="N16" s="61" t="s">
        <v>22</v>
      </c>
      <c r="O16" s="67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3" t="s">
        <v>50</v>
      </c>
      <c r="B17" s="64" t="s">
        <v>28</v>
      </c>
      <c r="C17" s="65" t="s">
        <v>44</v>
      </c>
      <c r="D17" s="64" t="s">
        <v>45</v>
      </c>
      <c r="E17" s="65" t="s">
        <v>51</v>
      </c>
      <c r="F17" s="64" t="s">
        <v>52</v>
      </c>
      <c r="G17" s="65" t="s">
        <v>49</v>
      </c>
      <c r="H17" s="66" t="s">
        <v>47</v>
      </c>
      <c r="I17" s="66">
        <v>-6.095872</v>
      </c>
      <c r="J17" s="71">
        <v>-6.095872</v>
      </c>
      <c r="K17" s="72">
        <v>9.999E-5</v>
      </c>
      <c r="L17" s="65">
        <v>0.003125</v>
      </c>
      <c r="M17" s="71">
        <f t="shared" si="4"/>
        <v>0.0319968</v>
      </c>
      <c r="N17" s="66" t="s">
        <v>29</v>
      </c>
      <c r="O17" s="68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58" t="s">
        <v>43</v>
      </c>
      <c r="B18" s="59" t="s">
        <v>17</v>
      </c>
      <c r="C18" s="60" t="s">
        <v>44</v>
      </c>
      <c r="D18" s="59" t="s">
        <v>45</v>
      </c>
      <c r="E18" s="60" t="s">
        <v>53</v>
      </c>
      <c r="F18" s="59" t="s">
        <v>54</v>
      </c>
      <c r="G18" s="60" t="s">
        <v>19</v>
      </c>
      <c r="H18" s="61" t="s">
        <v>47</v>
      </c>
      <c r="I18" s="61">
        <v>18315.0</v>
      </c>
      <c r="J18" s="61">
        <v>18315.0</v>
      </c>
      <c r="K18" s="59">
        <v>0.1523</v>
      </c>
      <c r="L18" s="60">
        <f>0.05/16</f>
        <v>0.003125</v>
      </c>
      <c r="M18" s="61">
        <f t="shared" si="4"/>
        <v>48.736</v>
      </c>
      <c r="N18" s="61" t="s">
        <v>26</v>
      </c>
      <c r="O18" s="67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3" t="s">
        <v>43</v>
      </c>
      <c r="B19" s="64" t="s">
        <v>17</v>
      </c>
      <c r="C19" s="65" t="s">
        <v>44</v>
      </c>
      <c r="D19" s="64" t="s">
        <v>45</v>
      </c>
      <c r="E19" s="65" t="s">
        <v>53</v>
      </c>
      <c r="F19" s="64" t="s">
        <v>54</v>
      </c>
      <c r="G19" s="65" t="s">
        <v>49</v>
      </c>
      <c r="H19" s="66" t="s">
        <v>47</v>
      </c>
      <c r="I19" s="66">
        <v>-1.0</v>
      </c>
      <c r="J19" s="71">
        <v>-1.0</v>
      </c>
      <c r="K19" s="72">
        <v>9.999E-5</v>
      </c>
      <c r="L19" s="65">
        <v>0.003125</v>
      </c>
      <c r="M19" s="71">
        <f>L19/K19</f>
        <v>31.25312531</v>
      </c>
      <c r="N19" s="66" t="s">
        <v>26</v>
      </c>
      <c r="O19" s="68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58" t="s">
        <v>43</v>
      </c>
      <c r="B20" s="59" t="s">
        <v>28</v>
      </c>
      <c r="C20" s="60" t="s">
        <v>44</v>
      </c>
      <c r="D20" s="59" t="s">
        <v>45</v>
      </c>
      <c r="E20" s="60" t="s">
        <v>53</v>
      </c>
      <c r="F20" s="59" t="s">
        <v>54</v>
      </c>
      <c r="G20" s="60" t="s">
        <v>19</v>
      </c>
      <c r="H20" s="61" t="s">
        <v>47</v>
      </c>
      <c r="I20" s="61">
        <v>15172.0</v>
      </c>
      <c r="J20" s="69">
        <v>15172.0</v>
      </c>
      <c r="K20" s="70">
        <v>2.127E-7</v>
      </c>
      <c r="L20" s="60">
        <f>0.05/16</f>
        <v>0.003125</v>
      </c>
      <c r="M20" s="69">
        <f t="shared" ref="M20:M22" si="5">K20/L20</f>
        <v>0.000068064</v>
      </c>
      <c r="N20" s="61" t="s">
        <v>22</v>
      </c>
      <c r="O20" s="67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3" t="s">
        <v>43</v>
      </c>
      <c r="B21" s="64" t="s">
        <v>28</v>
      </c>
      <c r="C21" s="65" t="s">
        <v>44</v>
      </c>
      <c r="D21" s="64" t="s">
        <v>45</v>
      </c>
      <c r="E21" s="65" t="s">
        <v>53</v>
      </c>
      <c r="F21" s="64" t="s">
        <v>54</v>
      </c>
      <c r="G21" s="65" t="s">
        <v>49</v>
      </c>
      <c r="H21" s="66" t="s">
        <v>47</v>
      </c>
      <c r="I21" s="66">
        <v>-5.240304</v>
      </c>
      <c r="J21" s="71">
        <v>-5.240304</v>
      </c>
      <c r="K21" s="72">
        <v>9.999E-5</v>
      </c>
      <c r="L21" s="65">
        <v>0.003125</v>
      </c>
      <c r="M21" s="71">
        <f t="shared" si="5"/>
        <v>0.0319968</v>
      </c>
      <c r="N21" s="66" t="s">
        <v>29</v>
      </c>
      <c r="O21" s="68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58" t="s">
        <v>50</v>
      </c>
      <c r="B22" s="59" t="s">
        <v>17</v>
      </c>
      <c r="C22" s="60" t="s">
        <v>44</v>
      </c>
      <c r="D22" s="59" t="s">
        <v>45</v>
      </c>
      <c r="E22" s="60" t="s">
        <v>53</v>
      </c>
      <c r="F22" s="59" t="s">
        <v>54</v>
      </c>
      <c r="G22" s="60" t="s">
        <v>19</v>
      </c>
      <c r="H22" s="61" t="s">
        <v>47</v>
      </c>
      <c r="I22" s="61">
        <v>18315.0</v>
      </c>
      <c r="J22" s="61">
        <v>18315.0</v>
      </c>
      <c r="K22" s="59">
        <v>0.1523</v>
      </c>
      <c r="L22" s="60">
        <f>0.05/16</f>
        <v>0.003125</v>
      </c>
      <c r="M22" s="61">
        <f t="shared" si="5"/>
        <v>48.736</v>
      </c>
      <c r="N22" s="61" t="s">
        <v>26</v>
      </c>
      <c r="O22" s="67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3" t="s">
        <v>50</v>
      </c>
      <c r="B23" s="64" t="s">
        <v>17</v>
      </c>
      <c r="C23" s="65" t="s">
        <v>44</v>
      </c>
      <c r="D23" s="64" t="s">
        <v>45</v>
      </c>
      <c r="E23" s="65" t="s">
        <v>53</v>
      </c>
      <c r="F23" s="64" t="s">
        <v>54</v>
      </c>
      <c r="G23" s="65" t="s">
        <v>49</v>
      </c>
      <c r="H23" s="66" t="s">
        <v>47</v>
      </c>
      <c r="I23" s="66">
        <v>-1.0</v>
      </c>
      <c r="J23" s="71">
        <v>-1.0</v>
      </c>
      <c r="K23" s="72">
        <v>9.999E-5</v>
      </c>
      <c r="L23" s="65">
        <v>0.003125</v>
      </c>
      <c r="M23" s="71">
        <f>L23/K23</f>
        <v>31.25312531</v>
      </c>
      <c r="N23" s="66" t="s">
        <v>26</v>
      </c>
      <c r="O23" s="68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58" t="s">
        <v>50</v>
      </c>
      <c r="B24" s="59" t="s">
        <v>28</v>
      </c>
      <c r="C24" s="60" t="s">
        <v>44</v>
      </c>
      <c r="D24" s="59" t="s">
        <v>45</v>
      </c>
      <c r="E24" s="60" t="s">
        <v>53</v>
      </c>
      <c r="F24" s="59" t="s">
        <v>54</v>
      </c>
      <c r="G24" s="60" t="s">
        <v>19</v>
      </c>
      <c r="H24" s="61" t="s">
        <v>47</v>
      </c>
      <c r="I24" s="61">
        <v>15888.0</v>
      </c>
      <c r="J24" s="69">
        <v>15888.0</v>
      </c>
      <c r="K24" s="70">
        <v>1.327E-5</v>
      </c>
      <c r="L24" s="60">
        <f>0.05/16</f>
        <v>0.003125</v>
      </c>
      <c r="M24" s="69">
        <f t="shared" ref="M24:M26" si="6">K24/L24</f>
        <v>0.0042464</v>
      </c>
      <c r="N24" s="61" t="s">
        <v>22</v>
      </c>
      <c r="O24" s="67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3" t="s">
        <v>50</v>
      </c>
      <c r="B25" s="64" t="s">
        <v>28</v>
      </c>
      <c r="C25" s="65" t="s">
        <v>44</v>
      </c>
      <c r="D25" s="64" t="s">
        <v>45</v>
      </c>
      <c r="E25" s="65" t="s">
        <v>53</v>
      </c>
      <c r="F25" s="64" t="s">
        <v>54</v>
      </c>
      <c r="G25" s="65" t="s">
        <v>49</v>
      </c>
      <c r="H25" s="66" t="s">
        <v>47</v>
      </c>
      <c r="I25" s="66">
        <v>-4.443725</v>
      </c>
      <c r="J25" s="71">
        <v>-4.443725</v>
      </c>
      <c r="K25" s="72">
        <v>9.999E-5</v>
      </c>
      <c r="L25" s="65">
        <v>0.003125</v>
      </c>
      <c r="M25" s="71">
        <f t="shared" si="6"/>
        <v>0.0319968</v>
      </c>
      <c r="N25" s="66" t="s">
        <v>29</v>
      </c>
      <c r="O25" s="68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58" t="s">
        <v>43</v>
      </c>
      <c r="B26" s="59" t="s">
        <v>17</v>
      </c>
      <c r="C26" s="60" t="s">
        <v>44</v>
      </c>
      <c r="D26" s="59" t="s">
        <v>45</v>
      </c>
      <c r="E26" s="60" t="s">
        <v>55</v>
      </c>
      <c r="F26" s="59" t="s">
        <v>54</v>
      </c>
      <c r="G26" s="60" t="s">
        <v>19</v>
      </c>
      <c r="H26" s="61" t="s">
        <v>47</v>
      </c>
      <c r="I26" s="61">
        <v>15444.0</v>
      </c>
      <c r="J26" s="61">
        <v>15444.0</v>
      </c>
      <c r="K26" s="59">
        <v>1.0</v>
      </c>
      <c r="L26" s="60">
        <f>0.05/16</f>
        <v>0.003125</v>
      </c>
      <c r="M26" s="61">
        <f t="shared" si="6"/>
        <v>320</v>
      </c>
      <c r="N26" s="61" t="s">
        <v>26</v>
      </c>
      <c r="O26" s="59" t="s">
        <v>48</v>
      </c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3" t="s">
        <v>43</v>
      </c>
      <c r="B27" s="64" t="s">
        <v>17</v>
      </c>
      <c r="C27" s="65" t="s">
        <v>44</v>
      </c>
      <c r="D27" s="64" t="s">
        <v>45</v>
      </c>
      <c r="E27" s="65" t="s">
        <v>55</v>
      </c>
      <c r="F27" s="64" t="s">
        <v>54</v>
      </c>
      <c r="G27" s="65" t="s">
        <v>49</v>
      </c>
      <c r="H27" s="66" t="s">
        <v>47</v>
      </c>
      <c r="I27" s="66" t="s">
        <v>25</v>
      </c>
      <c r="J27" s="66" t="s">
        <v>25</v>
      </c>
      <c r="K27" s="64" t="s">
        <v>25</v>
      </c>
      <c r="L27" s="65">
        <v>0.003125</v>
      </c>
      <c r="M27" s="66" t="str">
        <f>L27/K27</f>
        <v>#VALUE!</v>
      </c>
      <c r="N27" s="66" t="s">
        <v>26</v>
      </c>
      <c r="O27" s="64" t="s">
        <v>48</v>
      </c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58" t="s">
        <v>43</v>
      </c>
      <c r="B28" s="59" t="s">
        <v>28</v>
      </c>
      <c r="C28" s="60" t="s">
        <v>44</v>
      </c>
      <c r="D28" s="59" t="s">
        <v>45</v>
      </c>
      <c r="E28" s="60" t="s">
        <v>55</v>
      </c>
      <c r="F28" s="59" t="s">
        <v>54</v>
      </c>
      <c r="G28" s="60" t="s">
        <v>19</v>
      </c>
      <c r="H28" s="61" t="s">
        <v>47</v>
      </c>
      <c r="I28" s="61">
        <v>15200.0</v>
      </c>
      <c r="J28" s="61">
        <v>15200.0</v>
      </c>
      <c r="K28" s="59">
        <v>0.2622</v>
      </c>
      <c r="L28" s="60">
        <f>0.05/16</f>
        <v>0.003125</v>
      </c>
      <c r="M28" s="61">
        <f t="shared" ref="M28:M30" si="7">K28/L28</f>
        <v>83.904</v>
      </c>
      <c r="N28" s="61" t="s">
        <v>26</v>
      </c>
      <c r="O28" s="67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3" t="s">
        <v>43</v>
      </c>
      <c r="B29" s="64" t="s">
        <v>28</v>
      </c>
      <c r="C29" s="65" t="s">
        <v>44</v>
      </c>
      <c r="D29" s="64" t="s">
        <v>45</v>
      </c>
      <c r="E29" s="65" t="s">
        <v>55</v>
      </c>
      <c r="F29" s="64" t="s">
        <v>54</v>
      </c>
      <c r="G29" s="65" t="s">
        <v>49</v>
      </c>
      <c r="H29" s="66" t="s">
        <v>47</v>
      </c>
      <c r="I29" s="66">
        <v>-1.519795</v>
      </c>
      <c r="J29" s="66">
        <v>-1.519795</v>
      </c>
      <c r="K29" s="64">
        <v>0.05539446</v>
      </c>
      <c r="L29" s="65">
        <v>0.003125</v>
      </c>
      <c r="M29" s="66">
        <f t="shared" si="7"/>
        <v>17.7262272</v>
      </c>
      <c r="N29" s="66" t="s">
        <v>26</v>
      </c>
      <c r="O29" s="64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58" t="s">
        <v>50</v>
      </c>
      <c r="B30" s="59" t="s">
        <v>17</v>
      </c>
      <c r="C30" s="60" t="s">
        <v>44</v>
      </c>
      <c r="D30" s="59" t="s">
        <v>45</v>
      </c>
      <c r="E30" s="60" t="s">
        <v>55</v>
      </c>
      <c r="F30" s="59" t="s">
        <v>54</v>
      </c>
      <c r="G30" s="60" t="s">
        <v>19</v>
      </c>
      <c r="H30" s="61" t="s">
        <v>47</v>
      </c>
      <c r="I30" s="61">
        <v>15444.0</v>
      </c>
      <c r="J30" s="61">
        <v>15444.0</v>
      </c>
      <c r="K30" s="59">
        <v>1.0</v>
      </c>
      <c r="L30" s="60">
        <f>0.05/16</f>
        <v>0.003125</v>
      </c>
      <c r="M30" s="61">
        <f t="shared" si="7"/>
        <v>320</v>
      </c>
      <c r="N30" s="61" t="s">
        <v>26</v>
      </c>
      <c r="O30" s="67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3" t="s">
        <v>50</v>
      </c>
      <c r="B31" s="64" t="s">
        <v>17</v>
      </c>
      <c r="C31" s="65" t="s">
        <v>44</v>
      </c>
      <c r="D31" s="64" t="s">
        <v>45</v>
      </c>
      <c r="E31" s="65" t="s">
        <v>55</v>
      </c>
      <c r="F31" s="64" t="s">
        <v>54</v>
      </c>
      <c r="G31" s="65" t="s">
        <v>49</v>
      </c>
      <c r="H31" s="66" t="s">
        <v>47</v>
      </c>
      <c r="I31" s="66" t="s">
        <v>25</v>
      </c>
      <c r="J31" s="66" t="s">
        <v>25</v>
      </c>
      <c r="K31" s="64" t="s">
        <v>25</v>
      </c>
      <c r="L31" s="65">
        <v>0.003125</v>
      </c>
      <c r="M31" s="66" t="str">
        <f>L31/K31</f>
        <v>#VALUE!</v>
      </c>
      <c r="N31" s="66" t="s">
        <v>26</v>
      </c>
      <c r="O31" s="68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58" t="s">
        <v>50</v>
      </c>
      <c r="B32" s="59" t="s">
        <v>28</v>
      </c>
      <c r="C32" s="60" t="s">
        <v>44</v>
      </c>
      <c r="D32" s="59" t="s">
        <v>45</v>
      </c>
      <c r="E32" s="60" t="s">
        <v>55</v>
      </c>
      <c r="F32" s="59" t="s">
        <v>54</v>
      </c>
      <c r="G32" s="60" t="s">
        <v>19</v>
      </c>
      <c r="H32" s="61" t="s">
        <v>47</v>
      </c>
      <c r="I32" s="61">
        <v>15819.0</v>
      </c>
      <c r="J32" s="61">
        <v>15819.0</v>
      </c>
      <c r="K32" s="59">
        <v>0.8777</v>
      </c>
      <c r="L32" s="60">
        <f>0.05/16</f>
        <v>0.003125</v>
      </c>
      <c r="M32" s="61">
        <f t="shared" ref="M32:M34" si="8">K32/L32</f>
        <v>280.864</v>
      </c>
      <c r="N32" s="61" t="s">
        <v>26</v>
      </c>
      <c r="O32" s="67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3" t="s">
        <v>50</v>
      </c>
      <c r="B33" s="64" t="s">
        <v>28</v>
      </c>
      <c r="C33" s="65" t="s">
        <v>44</v>
      </c>
      <c r="D33" s="64" t="s">
        <v>45</v>
      </c>
      <c r="E33" s="65" t="s">
        <v>55</v>
      </c>
      <c r="F33" s="64" t="s">
        <v>54</v>
      </c>
      <c r="G33" s="65" t="s">
        <v>49</v>
      </c>
      <c r="H33" s="66" t="s">
        <v>47</v>
      </c>
      <c r="I33" s="66">
        <v>0.4210138</v>
      </c>
      <c r="J33" s="66">
        <v>0.4210138</v>
      </c>
      <c r="K33" s="64">
        <v>0.650435</v>
      </c>
      <c r="L33" s="65">
        <v>0.003125</v>
      </c>
      <c r="M33" s="66">
        <f t="shared" si="8"/>
        <v>208.1392</v>
      </c>
      <c r="N33" s="66" t="s">
        <v>26</v>
      </c>
      <c r="O33" s="68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58" t="s">
        <v>43</v>
      </c>
      <c r="B34" s="59" t="s">
        <v>17</v>
      </c>
      <c r="C34" s="60" t="s">
        <v>44</v>
      </c>
      <c r="D34" s="59" t="s">
        <v>45</v>
      </c>
      <c r="E34" s="60" t="s">
        <v>56</v>
      </c>
      <c r="F34" s="59" t="s">
        <v>45</v>
      </c>
      <c r="G34" s="60" t="s">
        <v>19</v>
      </c>
      <c r="H34" s="61" t="s">
        <v>47</v>
      </c>
      <c r="I34" s="61">
        <v>3267.0</v>
      </c>
      <c r="J34" s="61">
        <v>3267.0</v>
      </c>
      <c r="K34" s="59">
        <v>0.008175</v>
      </c>
      <c r="L34" s="60">
        <f>0.05/16</f>
        <v>0.003125</v>
      </c>
      <c r="M34" s="61">
        <f t="shared" si="8"/>
        <v>2.616</v>
      </c>
      <c r="N34" s="61" t="s">
        <v>26</v>
      </c>
      <c r="O34" s="67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3" t="s">
        <v>43</v>
      </c>
      <c r="B35" s="64" t="s">
        <v>17</v>
      </c>
      <c r="C35" s="65" t="s">
        <v>44</v>
      </c>
      <c r="D35" s="64" t="s">
        <v>45</v>
      </c>
      <c r="E35" s="65" t="s">
        <v>56</v>
      </c>
      <c r="F35" s="64" t="s">
        <v>45</v>
      </c>
      <c r="G35" s="65" t="s">
        <v>49</v>
      </c>
      <c r="H35" s="66" t="s">
        <v>47</v>
      </c>
      <c r="I35" s="66">
        <v>-1.0</v>
      </c>
      <c r="J35" s="71">
        <v>-1.0</v>
      </c>
      <c r="K35" s="72">
        <v>9.999E-5</v>
      </c>
      <c r="L35" s="65">
        <v>0.003125</v>
      </c>
      <c r="M35" s="71">
        <f>L35/K35</f>
        <v>31.25312531</v>
      </c>
      <c r="N35" s="66" t="s">
        <v>26</v>
      </c>
      <c r="O35" s="68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58" t="s">
        <v>43</v>
      </c>
      <c r="B36" s="59" t="s">
        <v>28</v>
      </c>
      <c r="C36" s="60" t="s">
        <v>44</v>
      </c>
      <c r="D36" s="59" t="s">
        <v>45</v>
      </c>
      <c r="E36" s="60" t="s">
        <v>56</v>
      </c>
      <c r="F36" s="59" t="s">
        <v>45</v>
      </c>
      <c r="G36" s="60" t="s">
        <v>19</v>
      </c>
      <c r="H36" s="61" t="s">
        <v>47</v>
      </c>
      <c r="I36" s="61">
        <v>210.0</v>
      </c>
      <c r="J36" s="69">
        <v>210.0</v>
      </c>
      <c r="K36" s="70">
        <v>2.2E-16</v>
      </c>
      <c r="L36" s="60">
        <f>0.05/16</f>
        <v>0.003125</v>
      </c>
      <c r="M36" s="69">
        <f t="shared" ref="M36:M37" si="9">K36/L36</f>
        <v>0</v>
      </c>
      <c r="N36" s="61" t="s">
        <v>22</v>
      </c>
      <c r="O36" s="67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3" t="s">
        <v>43</v>
      </c>
      <c r="B37" s="64" t="s">
        <v>28</v>
      </c>
      <c r="C37" s="65" t="s">
        <v>44</v>
      </c>
      <c r="D37" s="64" t="s">
        <v>45</v>
      </c>
      <c r="E37" s="65" t="s">
        <v>56</v>
      </c>
      <c r="F37" s="64" t="s">
        <v>45</v>
      </c>
      <c r="G37" s="65" t="s">
        <v>49</v>
      </c>
      <c r="H37" s="66" t="s">
        <v>47</v>
      </c>
      <c r="I37" s="66">
        <v>-18.50558</v>
      </c>
      <c r="J37" s="71">
        <v>-18.50558</v>
      </c>
      <c r="K37" s="72">
        <v>9.999E-5</v>
      </c>
      <c r="L37" s="65">
        <v>0.003125</v>
      </c>
      <c r="M37" s="71">
        <f t="shared" si="9"/>
        <v>0.0319968</v>
      </c>
      <c r="N37" s="66" t="s">
        <v>29</v>
      </c>
      <c r="O37" s="68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73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74" t="s">
        <v>57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73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73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73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73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73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73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73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73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73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73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73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73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73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73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73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73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73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73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73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73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73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73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73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73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73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73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73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73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73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73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73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73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73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73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73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73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73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73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73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73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73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73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73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73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73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73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73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73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73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73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73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73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73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73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73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73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73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73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73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73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73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73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73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73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73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73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73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73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73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73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73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73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73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73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73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73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73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73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73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73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73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73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73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73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73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73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73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73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73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73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73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73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73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73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73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73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73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73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73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73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73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73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73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73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73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73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73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73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73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73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73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73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73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73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73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73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73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73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73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73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73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73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73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73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73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73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73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73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73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73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73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73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73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73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73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73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73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73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73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73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73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73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73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73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73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73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73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73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73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73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73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73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73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73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73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73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73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73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73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73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73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73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73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73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73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73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73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73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73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73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73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73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73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73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73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73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73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73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73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73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73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73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73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73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73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73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73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73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73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73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73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73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73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73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73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73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73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73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73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73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73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73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73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73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73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73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73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73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73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73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73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73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73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73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73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73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73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73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73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73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73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73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73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73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73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73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73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73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73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73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73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73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73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73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73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73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73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73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73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73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73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73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73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73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73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73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73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73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73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73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73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73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73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73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73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73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73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73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73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73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73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73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73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73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73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73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73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73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73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73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73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73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73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73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73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73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73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73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73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73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73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73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73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73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73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73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73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73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73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73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73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73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73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73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73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73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73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73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73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73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73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73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73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73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73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73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73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73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73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73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73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73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73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73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73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73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73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73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73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73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73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73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73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73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73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73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73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73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73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73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73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73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73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73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73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73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73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73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73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73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73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73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73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73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73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73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73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73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73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73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73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73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73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73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73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73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73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73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73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73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73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73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73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73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73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73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73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73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73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73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73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73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73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73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73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73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73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73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73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73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73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73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73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73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73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73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73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73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73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73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73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73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73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73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73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73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73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73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73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73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73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73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73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73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73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73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73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73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73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73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73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73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73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73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73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73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73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73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73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73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73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73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73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73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73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73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73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73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73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73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73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73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73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73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73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73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73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73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73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73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73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73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73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73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73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73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73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73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73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73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73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73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73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73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73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73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73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73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73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73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73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73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73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73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73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73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73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73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73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73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73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73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73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73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73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73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73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73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73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73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73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73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73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73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73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73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73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73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73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73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73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73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73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73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73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73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73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73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73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73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73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73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73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73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73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73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73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73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73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73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73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73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73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73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73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73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73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73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73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73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73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73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73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73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73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73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73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73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73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73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73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73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73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73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73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73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73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73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73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73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73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73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73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73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73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73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73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73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73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73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73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73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73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73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73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73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73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73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73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73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73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73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73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73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73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73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73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73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73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73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73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73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73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73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73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73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73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73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73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73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73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73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73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73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73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73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73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73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73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73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73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73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73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73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73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73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73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73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73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73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73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73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73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73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73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73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73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73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73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73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73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73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73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73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73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73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73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73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73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73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73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73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73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73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73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73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73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73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73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73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73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73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73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73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73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73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73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73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73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73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73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73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73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73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73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73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73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73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73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73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73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73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73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73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73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73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73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73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73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73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73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73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73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73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73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73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73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73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73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73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73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73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73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73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73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73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73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73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73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73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73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73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73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73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73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73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73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73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73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73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73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73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73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73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73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73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73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73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73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73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73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73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73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73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73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73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73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73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73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73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73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73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73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73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73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73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73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73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73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73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73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73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73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73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73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73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73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73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73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73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73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73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73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73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73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73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73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73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73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73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73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73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73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73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73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73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73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73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73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73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73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73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73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73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73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73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73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73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73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73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73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73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73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73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73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73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73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73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73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73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73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73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73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73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73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73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73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73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73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73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73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73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73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73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73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73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73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73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73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73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73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73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73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73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73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73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73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73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73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73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73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73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73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73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73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73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73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73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73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73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73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73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73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73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73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73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73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73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73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73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73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73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73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73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73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73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73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73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73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73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73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73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73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73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73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73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73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73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73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73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73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73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73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73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73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73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73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73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73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73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73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73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73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73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73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73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73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73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73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73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73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73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73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73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73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73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73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73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73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73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73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73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73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73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73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73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73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73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73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73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73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73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73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73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73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73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73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73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73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73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73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73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73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73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73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73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73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73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73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73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73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73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73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73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73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73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73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73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73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73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75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75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75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75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</cols>
  <sheetData>
    <row r="1">
      <c r="A1" s="18" t="s">
        <v>58</v>
      </c>
      <c r="B1" s="18" t="s">
        <v>59</v>
      </c>
      <c r="C1" s="18" t="s">
        <v>60</v>
      </c>
      <c r="D1" s="18" t="s">
        <v>53</v>
      </c>
      <c r="E1" s="18" t="s">
        <v>55</v>
      </c>
      <c r="F1" s="18" t="s">
        <v>46</v>
      </c>
      <c r="G1" s="18" t="s">
        <v>61</v>
      </c>
    </row>
    <row r="2">
      <c r="A2" s="18" t="s">
        <v>62</v>
      </c>
      <c r="B2" s="18">
        <v>0.07</v>
      </c>
      <c r="C2" s="18">
        <v>0.33</v>
      </c>
      <c r="D2" s="18">
        <v>0.23</v>
      </c>
      <c r="E2" s="18">
        <v>0.03</v>
      </c>
      <c r="F2" s="18">
        <v>0.01</v>
      </c>
      <c r="G2" s="18">
        <v>4.09</v>
      </c>
    </row>
    <row r="3">
      <c r="A3" s="18" t="s">
        <v>63</v>
      </c>
      <c r="B3" s="18">
        <v>5.0</v>
      </c>
      <c r="C3" s="18">
        <v>2.9</v>
      </c>
      <c r="D3" s="18">
        <v>2.2</v>
      </c>
      <c r="E3" s="18">
        <v>1.9</v>
      </c>
      <c r="F3" s="18">
        <v>1.3</v>
      </c>
      <c r="G3" s="18">
        <v>1.5</v>
      </c>
    </row>
    <row r="4">
      <c r="A4" s="18" t="s">
        <v>64</v>
      </c>
      <c r="B4" s="18">
        <v>5.0</v>
      </c>
      <c r="D4" s="18">
        <v>2.2</v>
      </c>
      <c r="F4" s="18">
        <v>1.36</v>
      </c>
    </row>
    <row r="5">
      <c r="A5" s="18" t="s">
        <v>65</v>
      </c>
      <c r="B5" s="18">
        <v>0.0</v>
      </c>
      <c r="C5" s="18">
        <v>0.0</v>
      </c>
      <c r="D5" s="18" t="s">
        <v>66</v>
      </c>
      <c r="E5" s="18">
        <v>0.0</v>
      </c>
      <c r="F5" s="18">
        <v>0.0</v>
      </c>
    </row>
    <row r="6">
      <c r="B6" s="76">
        <f t="shared" ref="B6:G6" si="1">B2/(B2+B3)</f>
        <v>0.01380670611</v>
      </c>
      <c r="C6" s="76">
        <f t="shared" si="1"/>
        <v>0.1021671827</v>
      </c>
      <c r="D6" s="76">
        <f t="shared" si="1"/>
        <v>0.09465020576</v>
      </c>
      <c r="E6" s="76">
        <f t="shared" si="1"/>
        <v>0.01554404145</v>
      </c>
      <c r="F6" s="76">
        <f t="shared" si="1"/>
        <v>0.007633587786</v>
      </c>
      <c r="G6" s="76">
        <f t="shared" si="1"/>
        <v>0.7316636852</v>
      </c>
    </row>
    <row r="10">
      <c r="A10" s="77"/>
      <c r="B10" s="78" t="s">
        <v>67</v>
      </c>
      <c r="C10" s="78" t="s">
        <v>68</v>
      </c>
      <c r="D10" s="78" t="s">
        <v>69</v>
      </c>
      <c r="E10" s="78" t="s">
        <v>70</v>
      </c>
    </row>
    <row r="11">
      <c r="A11" s="78" t="s">
        <v>71</v>
      </c>
      <c r="B11" s="78">
        <v>448670.0</v>
      </c>
      <c r="C11" s="78">
        <v>38595.0</v>
      </c>
      <c r="D11" s="78">
        <v>272.0</v>
      </c>
      <c r="E11" s="78">
        <v>0.079207413</v>
      </c>
    </row>
    <row r="12">
      <c r="A12" s="78" t="s">
        <v>72</v>
      </c>
      <c r="B12" s="78">
        <v>447919.0</v>
      </c>
      <c r="C12" s="78">
        <v>7837.0</v>
      </c>
      <c r="D12" s="78">
        <v>185.0</v>
      </c>
      <c r="E12" s="78">
        <v>0.017195605</v>
      </c>
    </row>
    <row r="13">
      <c r="A13" s="77"/>
      <c r="B13" s="77"/>
      <c r="C13" s="77"/>
      <c r="D13" s="77"/>
      <c r="E13" s="77"/>
    </row>
    <row r="14">
      <c r="A14" s="78" t="s">
        <v>46</v>
      </c>
      <c r="B14" s="78">
        <v>148.0</v>
      </c>
      <c r="C14" s="78">
        <v>1.0</v>
      </c>
      <c r="D14" s="78">
        <v>0.0</v>
      </c>
      <c r="E14" s="78">
        <v>0.006711409</v>
      </c>
    </row>
    <row r="15">
      <c r="A15" s="78" t="s">
        <v>73</v>
      </c>
      <c r="B15" s="78">
        <v>375.0</v>
      </c>
      <c r="C15" s="78">
        <v>57.0</v>
      </c>
      <c r="D15" s="78">
        <v>0.0</v>
      </c>
      <c r="E15" s="78">
        <v>0.131944444</v>
      </c>
    </row>
    <row r="16">
      <c r="A16" s="78" t="s">
        <v>74</v>
      </c>
      <c r="B16" s="78">
        <v>540.0</v>
      </c>
      <c r="C16" s="78">
        <v>42.0</v>
      </c>
      <c r="D16" s="78">
        <v>1.0</v>
      </c>
      <c r="E16" s="78">
        <v>0.072164948</v>
      </c>
    </row>
    <row r="17">
      <c r="A17" s="78" t="s">
        <v>55</v>
      </c>
      <c r="B17" s="78">
        <v>291.0</v>
      </c>
      <c r="C17" s="78">
        <v>5.0</v>
      </c>
      <c r="D17" s="78">
        <v>0.0</v>
      </c>
      <c r="E17" s="78">
        <v>0.016891892</v>
      </c>
    </row>
    <row r="18">
      <c r="A18" s="78" t="s">
        <v>75</v>
      </c>
      <c r="B18" s="78">
        <v>446565.0</v>
      </c>
      <c r="C18" s="78">
        <v>7732.0</v>
      </c>
      <c r="D18" s="78">
        <v>184.0</v>
      </c>
      <c r="E18" s="78">
        <v>0.017019703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3.0"/>
    <col customWidth="1" min="3" max="3" width="29.29"/>
    <col customWidth="1" min="4" max="4" width="16.14"/>
    <col customWidth="1" min="5" max="5" width="10.86"/>
    <col customWidth="1" min="6" max="6" width="21.57"/>
    <col customWidth="1" min="7" max="7" width="26.14"/>
    <col customWidth="1" min="8" max="8" width="11.86"/>
    <col customWidth="1" min="9" max="9" width="13.86"/>
    <col customWidth="1" min="10" max="10" width="33.43"/>
    <col customWidth="1" min="11" max="11" width="11.71"/>
    <col customWidth="1" min="12" max="12" width="17.0"/>
    <col customWidth="1" min="13" max="13" width="10.86"/>
    <col customWidth="1" min="14" max="14" width="20.29"/>
    <col customWidth="1" min="15" max="15" width="20.0"/>
    <col customWidth="1" min="16" max="26" width="9.0"/>
  </cols>
  <sheetData>
    <row r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6</v>
      </c>
      <c r="G1" s="79" t="s">
        <v>76</v>
      </c>
      <c r="H1" s="79" t="s">
        <v>9</v>
      </c>
      <c r="I1" s="79" t="s">
        <v>10</v>
      </c>
      <c r="J1" s="79" t="s">
        <v>11</v>
      </c>
      <c r="K1" s="79" t="s">
        <v>12</v>
      </c>
      <c r="L1" s="79" t="s">
        <v>13</v>
      </c>
      <c r="M1" s="79" t="s">
        <v>77</v>
      </c>
      <c r="N1" s="79" t="s">
        <v>78</v>
      </c>
      <c r="O1" s="79" t="s">
        <v>42</v>
      </c>
    </row>
    <row r="2">
      <c r="A2" s="80" t="s">
        <v>79</v>
      </c>
      <c r="B2" s="81" t="s">
        <v>33</v>
      </c>
      <c r="C2" s="80" t="s">
        <v>79</v>
      </c>
      <c r="D2" s="81" t="s">
        <v>80</v>
      </c>
      <c r="E2" s="80" t="s">
        <v>17</v>
      </c>
      <c r="F2" s="80" t="s">
        <v>19</v>
      </c>
      <c r="G2" s="80" t="s">
        <v>47</v>
      </c>
      <c r="H2" s="80" t="s">
        <v>25</v>
      </c>
      <c r="I2" s="80" t="s">
        <v>25</v>
      </c>
      <c r="J2" s="80" t="s">
        <v>81</v>
      </c>
      <c r="K2" s="80" t="e">
        <v>#VALUE!</v>
      </c>
      <c r="L2" s="80" t="s">
        <v>26</v>
      </c>
      <c r="M2" s="82"/>
      <c r="N2" s="83"/>
      <c r="O2" s="80" t="s">
        <v>48</v>
      </c>
    </row>
    <row r="3">
      <c r="A3" s="84" t="s">
        <v>79</v>
      </c>
      <c r="B3" s="85" t="s">
        <v>33</v>
      </c>
      <c r="C3" s="84" t="s">
        <v>79</v>
      </c>
      <c r="D3" s="85" t="s">
        <v>80</v>
      </c>
      <c r="E3" s="84" t="s">
        <v>17</v>
      </c>
      <c r="F3" s="84" t="s">
        <v>23</v>
      </c>
      <c r="G3" s="84" t="s">
        <v>47</v>
      </c>
      <c r="H3" s="84" t="s">
        <v>25</v>
      </c>
      <c r="I3" s="84" t="s">
        <v>25</v>
      </c>
      <c r="J3" s="84" t="s">
        <v>81</v>
      </c>
      <c r="K3" s="84" t="e">
        <v>#VALUE!</v>
      </c>
      <c r="L3" s="84" t="s">
        <v>26</v>
      </c>
      <c r="M3" s="86"/>
      <c r="N3" s="87"/>
      <c r="O3" s="84" t="s">
        <v>48</v>
      </c>
    </row>
    <row r="4">
      <c r="A4" s="80" t="s">
        <v>82</v>
      </c>
      <c r="B4" s="81" t="s">
        <v>33</v>
      </c>
      <c r="C4" s="80" t="s">
        <v>82</v>
      </c>
      <c r="D4" s="81" t="s">
        <v>80</v>
      </c>
      <c r="E4" s="80" t="s">
        <v>17</v>
      </c>
      <c r="F4" s="80" t="s">
        <v>19</v>
      </c>
      <c r="G4" s="80" t="s">
        <v>47</v>
      </c>
      <c r="H4" s="80">
        <v>14400.0</v>
      </c>
      <c r="I4" s="80" t="s">
        <v>83</v>
      </c>
      <c r="J4" s="80" t="s">
        <v>81</v>
      </c>
      <c r="K4" s="80" t="s">
        <v>84</v>
      </c>
      <c r="L4" s="80" t="s">
        <v>22</v>
      </c>
      <c r="M4" s="82"/>
      <c r="N4" s="83"/>
      <c r="O4" s="83"/>
    </row>
    <row r="5">
      <c r="A5" s="84" t="s">
        <v>82</v>
      </c>
      <c r="B5" s="85" t="s">
        <v>33</v>
      </c>
      <c r="C5" s="84" t="s">
        <v>82</v>
      </c>
      <c r="D5" s="85" t="s">
        <v>80</v>
      </c>
      <c r="E5" s="84" t="s">
        <v>17</v>
      </c>
      <c r="F5" s="84" t="s">
        <v>23</v>
      </c>
      <c r="G5" s="84" t="s">
        <v>47</v>
      </c>
      <c r="H5" s="84" t="s">
        <v>85</v>
      </c>
      <c r="I5" s="84" t="s">
        <v>86</v>
      </c>
      <c r="J5" s="84" t="s">
        <v>81</v>
      </c>
      <c r="K5" s="84" t="s">
        <v>87</v>
      </c>
      <c r="L5" s="84" t="s">
        <v>22</v>
      </c>
      <c r="M5" s="88"/>
      <c r="N5" s="89"/>
      <c r="O5" s="87"/>
    </row>
    <row r="6">
      <c r="A6" s="80" t="s">
        <v>88</v>
      </c>
      <c r="B6" s="81" t="s">
        <v>33</v>
      </c>
      <c r="C6" s="80" t="s">
        <v>88</v>
      </c>
      <c r="D6" s="81" t="s">
        <v>80</v>
      </c>
      <c r="E6" s="80" t="s">
        <v>17</v>
      </c>
      <c r="F6" s="80" t="s">
        <v>19</v>
      </c>
      <c r="G6" s="80" t="s">
        <v>47</v>
      </c>
      <c r="H6" s="80" t="s">
        <v>25</v>
      </c>
      <c r="I6" s="80" t="s">
        <v>25</v>
      </c>
      <c r="J6" s="80" t="s">
        <v>81</v>
      </c>
      <c r="K6" s="80" t="e">
        <v>#VALUE!</v>
      </c>
      <c r="L6" s="80" t="s">
        <v>26</v>
      </c>
      <c r="M6" s="82"/>
      <c r="N6" s="83"/>
      <c r="O6" s="80" t="s">
        <v>48</v>
      </c>
    </row>
    <row r="7">
      <c r="A7" s="84" t="s">
        <v>88</v>
      </c>
      <c r="B7" s="85" t="s">
        <v>33</v>
      </c>
      <c r="C7" s="84" t="s">
        <v>88</v>
      </c>
      <c r="D7" s="85" t="s">
        <v>80</v>
      </c>
      <c r="E7" s="84" t="s">
        <v>17</v>
      </c>
      <c r="F7" s="84" t="s">
        <v>23</v>
      </c>
      <c r="G7" s="84" t="s">
        <v>47</v>
      </c>
      <c r="H7" s="84" t="s">
        <v>25</v>
      </c>
      <c r="I7" s="84" t="s">
        <v>25</v>
      </c>
      <c r="J7" s="84" t="s">
        <v>81</v>
      </c>
      <c r="K7" s="84" t="e">
        <v>#VALUE!</v>
      </c>
      <c r="L7" s="84" t="s">
        <v>26</v>
      </c>
      <c r="M7" s="86"/>
      <c r="N7" s="87"/>
      <c r="O7" s="84" t="s">
        <v>48</v>
      </c>
    </row>
    <row r="8">
      <c r="A8" s="80" t="s">
        <v>89</v>
      </c>
      <c r="B8" s="81" t="s">
        <v>33</v>
      </c>
      <c r="C8" s="80" t="s">
        <v>89</v>
      </c>
      <c r="D8" s="81" t="s">
        <v>80</v>
      </c>
      <c r="E8" s="80" t="s">
        <v>17</v>
      </c>
      <c r="F8" s="80" t="s">
        <v>19</v>
      </c>
      <c r="G8" s="80" t="s">
        <v>47</v>
      </c>
      <c r="H8" s="80" t="s">
        <v>25</v>
      </c>
      <c r="I8" s="80" t="s">
        <v>25</v>
      </c>
      <c r="J8" s="80" t="s">
        <v>81</v>
      </c>
      <c r="K8" s="80" t="e">
        <v>#VALUE!</v>
      </c>
      <c r="L8" s="80" t="s">
        <v>26</v>
      </c>
      <c r="M8" s="82"/>
      <c r="N8" s="83"/>
      <c r="O8" s="80" t="s">
        <v>48</v>
      </c>
    </row>
    <row r="9">
      <c r="A9" s="84" t="s">
        <v>89</v>
      </c>
      <c r="B9" s="85" t="s">
        <v>33</v>
      </c>
      <c r="C9" s="84" t="s">
        <v>89</v>
      </c>
      <c r="D9" s="85" t="s">
        <v>80</v>
      </c>
      <c r="E9" s="84" t="s">
        <v>17</v>
      </c>
      <c r="F9" s="84" t="s">
        <v>23</v>
      </c>
      <c r="G9" s="84" t="s">
        <v>47</v>
      </c>
      <c r="H9" s="84" t="s">
        <v>25</v>
      </c>
      <c r="I9" s="84" t="s">
        <v>25</v>
      </c>
      <c r="J9" s="84" t="s">
        <v>81</v>
      </c>
      <c r="K9" s="84" t="e">
        <v>#VALUE!</v>
      </c>
      <c r="L9" s="84" t="s">
        <v>26</v>
      </c>
      <c r="M9" s="86"/>
      <c r="N9" s="87"/>
      <c r="O9" s="84" t="s">
        <v>48</v>
      </c>
    </row>
    <row r="10">
      <c r="A10" s="80" t="s">
        <v>90</v>
      </c>
      <c r="B10" s="81" t="s">
        <v>33</v>
      </c>
      <c r="C10" s="80" t="s">
        <v>90</v>
      </c>
      <c r="D10" s="81" t="s">
        <v>80</v>
      </c>
      <c r="E10" s="80" t="s">
        <v>17</v>
      </c>
      <c r="F10" s="80" t="s">
        <v>19</v>
      </c>
      <c r="G10" s="80" t="s">
        <v>47</v>
      </c>
      <c r="H10" s="80">
        <v>18810.0</v>
      </c>
      <c r="I10" s="80" t="s">
        <v>91</v>
      </c>
      <c r="J10" s="80" t="s">
        <v>81</v>
      </c>
      <c r="K10" s="80" t="s">
        <v>92</v>
      </c>
      <c r="L10" s="80" t="s">
        <v>93</v>
      </c>
      <c r="M10" s="82"/>
      <c r="N10" s="83"/>
      <c r="O10" s="83"/>
    </row>
    <row r="11">
      <c r="A11" s="84" t="s">
        <v>90</v>
      </c>
      <c r="B11" s="85" t="s">
        <v>33</v>
      </c>
      <c r="C11" s="84" t="s">
        <v>90</v>
      </c>
      <c r="D11" s="85" t="s">
        <v>80</v>
      </c>
      <c r="E11" s="84" t="s">
        <v>17</v>
      </c>
      <c r="F11" s="84" t="s">
        <v>23</v>
      </c>
      <c r="G11" s="84" t="s">
        <v>47</v>
      </c>
      <c r="H11" s="84" t="s">
        <v>94</v>
      </c>
      <c r="I11" s="84" t="s">
        <v>86</v>
      </c>
      <c r="J11" s="84" t="s">
        <v>81</v>
      </c>
      <c r="K11" s="84" t="s">
        <v>87</v>
      </c>
      <c r="L11" s="84" t="s">
        <v>29</v>
      </c>
      <c r="M11" s="86"/>
      <c r="N11" s="87"/>
      <c r="O11" s="87"/>
    </row>
    <row r="12">
      <c r="A12" s="80" t="s">
        <v>95</v>
      </c>
      <c r="B12" s="81" t="s">
        <v>33</v>
      </c>
      <c r="C12" s="80" t="s">
        <v>95</v>
      </c>
      <c r="D12" s="81" t="s">
        <v>80</v>
      </c>
      <c r="E12" s="80" t="s">
        <v>17</v>
      </c>
      <c r="F12" s="80" t="s">
        <v>19</v>
      </c>
      <c r="G12" s="80" t="s">
        <v>47</v>
      </c>
      <c r="H12" s="80">
        <v>19109.0</v>
      </c>
      <c r="I12" s="80" t="s">
        <v>96</v>
      </c>
      <c r="J12" s="80" t="s">
        <v>81</v>
      </c>
      <c r="K12" s="80" t="s">
        <v>97</v>
      </c>
      <c r="L12" s="80" t="s">
        <v>26</v>
      </c>
      <c r="M12" s="82"/>
      <c r="N12" s="83"/>
      <c r="O12" s="83"/>
    </row>
    <row r="13">
      <c r="A13" s="84" t="s">
        <v>95</v>
      </c>
      <c r="B13" s="85" t="s">
        <v>33</v>
      </c>
      <c r="C13" s="84" t="s">
        <v>95</v>
      </c>
      <c r="D13" s="85" t="s">
        <v>80</v>
      </c>
      <c r="E13" s="84" t="s">
        <v>17</v>
      </c>
      <c r="F13" s="84" t="s">
        <v>23</v>
      </c>
      <c r="G13" s="84" t="s">
        <v>47</v>
      </c>
      <c r="H13" s="84" t="s">
        <v>98</v>
      </c>
      <c r="I13" s="84" t="s">
        <v>86</v>
      </c>
      <c r="J13" s="84" t="s">
        <v>81</v>
      </c>
      <c r="K13" s="84" t="s">
        <v>87</v>
      </c>
      <c r="L13" s="84" t="s">
        <v>29</v>
      </c>
      <c r="M13" s="88"/>
      <c r="N13" s="89"/>
      <c r="O13" s="87"/>
    </row>
    <row r="14">
      <c r="A14" s="80" t="s">
        <v>79</v>
      </c>
      <c r="B14" s="90" t="s">
        <v>32</v>
      </c>
      <c r="C14" s="80" t="s">
        <v>79</v>
      </c>
      <c r="D14" s="90" t="s">
        <v>99</v>
      </c>
      <c r="E14" s="80" t="s">
        <v>17</v>
      </c>
      <c r="F14" s="80" t="s">
        <v>19</v>
      </c>
      <c r="G14" s="80" t="s">
        <v>47</v>
      </c>
      <c r="H14" s="80">
        <v>22660.0</v>
      </c>
      <c r="I14" s="80" t="s">
        <v>100</v>
      </c>
      <c r="J14" s="80" t="s">
        <v>81</v>
      </c>
      <c r="K14" s="80" t="s">
        <v>101</v>
      </c>
      <c r="L14" s="80" t="s">
        <v>26</v>
      </c>
      <c r="M14" s="82"/>
      <c r="N14" s="83"/>
      <c r="O14" s="83"/>
    </row>
    <row r="15">
      <c r="A15" s="84" t="s">
        <v>79</v>
      </c>
      <c r="B15" s="91" t="s">
        <v>32</v>
      </c>
      <c r="C15" s="84" t="s">
        <v>79</v>
      </c>
      <c r="D15" s="91" t="s">
        <v>99</v>
      </c>
      <c r="E15" s="84" t="s">
        <v>17</v>
      </c>
      <c r="F15" s="84" t="s">
        <v>23</v>
      </c>
      <c r="G15" s="84" t="s">
        <v>47</v>
      </c>
      <c r="H15" s="84" t="s">
        <v>102</v>
      </c>
      <c r="I15" s="84" t="s">
        <v>103</v>
      </c>
      <c r="J15" s="84" t="s">
        <v>81</v>
      </c>
      <c r="K15" s="84" t="s">
        <v>104</v>
      </c>
      <c r="L15" s="84" t="s">
        <v>26</v>
      </c>
      <c r="M15" s="86"/>
      <c r="N15" s="87"/>
      <c r="O15" s="87"/>
    </row>
    <row r="16">
      <c r="A16" s="80" t="s">
        <v>82</v>
      </c>
      <c r="B16" s="90" t="s">
        <v>32</v>
      </c>
      <c r="C16" s="80" t="s">
        <v>82</v>
      </c>
      <c r="D16" s="90" t="s">
        <v>99</v>
      </c>
      <c r="E16" s="80" t="s">
        <v>17</v>
      </c>
      <c r="F16" s="80" t="s">
        <v>19</v>
      </c>
      <c r="G16" s="80" t="s">
        <v>47</v>
      </c>
      <c r="H16" s="80">
        <v>0.0</v>
      </c>
      <c r="I16" s="80" t="s">
        <v>105</v>
      </c>
      <c r="J16" s="80" t="s">
        <v>81</v>
      </c>
      <c r="K16" s="80" t="e">
        <v>#VALUE!</v>
      </c>
      <c r="L16" s="80" t="s">
        <v>29</v>
      </c>
      <c r="M16" s="92"/>
      <c r="N16" s="93"/>
      <c r="O16" s="93"/>
    </row>
    <row r="17">
      <c r="A17" s="84" t="s">
        <v>82</v>
      </c>
      <c r="B17" s="91" t="s">
        <v>32</v>
      </c>
      <c r="C17" s="84" t="s">
        <v>82</v>
      </c>
      <c r="D17" s="91" t="s">
        <v>99</v>
      </c>
      <c r="E17" s="84" t="s">
        <v>17</v>
      </c>
      <c r="F17" s="84" t="s">
        <v>23</v>
      </c>
      <c r="G17" s="84" t="s">
        <v>47</v>
      </c>
      <c r="H17" s="84" t="s">
        <v>106</v>
      </c>
      <c r="I17" s="84" t="s">
        <v>86</v>
      </c>
      <c r="J17" s="84" t="s">
        <v>81</v>
      </c>
      <c r="K17" s="84" t="s">
        <v>87</v>
      </c>
      <c r="L17" s="84" t="s">
        <v>29</v>
      </c>
      <c r="M17" s="94"/>
      <c r="N17" s="95"/>
      <c r="O17" s="95"/>
    </row>
    <row r="18">
      <c r="A18" s="80" t="s">
        <v>88</v>
      </c>
      <c r="B18" s="90" t="s">
        <v>32</v>
      </c>
      <c r="C18" s="80" t="s">
        <v>88</v>
      </c>
      <c r="D18" s="90" t="s">
        <v>99</v>
      </c>
      <c r="E18" s="80" t="s">
        <v>17</v>
      </c>
      <c r="F18" s="80" t="s">
        <v>19</v>
      </c>
      <c r="G18" s="80" t="s">
        <v>47</v>
      </c>
      <c r="H18" s="96">
        <v>1371974.0</v>
      </c>
      <c r="I18" s="80" t="s">
        <v>107</v>
      </c>
      <c r="J18" s="80" t="s">
        <v>81</v>
      </c>
      <c r="K18" s="80" t="s">
        <v>108</v>
      </c>
      <c r="L18" s="80" t="s">
        <v>26</v>
      </c>
      <c r="M18" s="82"/>
      <c r="N18" s="83"/>
      <c r="O18" s="83"/>
    </row>
    <row r="19">
      <c r="A19" s="84" t="s">
        <v>88</v>
      </c>
      <c r="B19" s="91" t="s">
        <v>32</v>
      </c>
      <c r="C19" s="84" t="s">
        <v>88</v>
      </c>
      <c r="D19" s="91" t="s">
        <v>99</v>
      </c>
      <c r="E19" s="84" t="s">
        <v>17</v>
      </c>
      <c r="F19" s="84" t="s">
        <v>23</v>
      </c>
      <c r="G19" s="84" t="s">
        <v>47</v>
      </c>
      <c r="H19" s="84" t="s">
        <v>109</v>
      </c>
      <c r="I19" s="84" t="s">
        <v>110</v>
      </c>
      <c r="J19" s="84" t="s">
        <v>81</v>
      </c>
      <c r="K19" s="84" t="s">
        <v>111</v>
      </c>
      <c r="L19" s="84" t="s">
        <v>26</v>
      </c>
      <c r="M19" s="88"/>
      <c r="N19" s="89"/>
      <c r="O19" s="87"/>
    </row>
    <row r="20">
      <c r="A20" s="80" t="s">
        <v>89</v>
      </c>
      <c r="B20" s="90" t="s">
        <v>32</v>
      </c>
      <c r="C20" s="80" t="s">
        <v>89</v>
      </c>
      <c r="D20" s="90" t="s">
        <v>99</v>
      </c>
      <c r="E20" s="80" t="s">
        <v>17</v>
      </c>
      <c r="F20" s="80" t="s">
        <v>19</v>
      </c>
      <c r="G20" s="80" t="s">
        <v>47</v>
      </c>
      <c r="H20" s="80">
        <v>13614.0</v>
      </c>
      <c r="I20" s="80" t="s">
        <v>112</v>
      </c>
      <c r="J20" s="80" t="s">
        <v>81</v>
      </c>
      <c r="K20" s="80" t="s">
        <v>113</v>
      </c>
      <c r="L20" s="80" t="s">
        <v>26</v>
      </c>
      <c r="M20" s="92"/>
      <c r="N20" s="93"/>
      <c r="O20" s="93"/>
    </row>
    <row r="21" ht="15.75" customHeight="1">
      <c r="A21" s="84" t="s">
        <v>89</v>
      </c>
      <c r="B21" s="91" t="s">
        <v>32</v>
      </c>
      <c r="C21" s="84" t="s">
        <v>89</v>
      </c>
      <c r="D21" s="91" t="s">
        <v>99</v>
      </c>
      <c r="E21" s="84" t="s">
        <v>17</v>
      </c>
      <c r="F21" s="84" t="s">
        <v>23</v>
      </c>
      <c r="G21" s="84" t="s">
        <v>47</v>
      </c>
      <c r="H21" s="84" t="s">
        <v>114</v>
      </c>
      <c r="I21" s="84" t="s">
        <v>115</v>
      </c>
      <c r="J21" s="84" t="s">
        <v>81</v>
      </c>
      <c r="K21" s="84" t="s">
        <v>113</v>
      </c>
      <c r="L21" s="84" t="s">
        <v>26</v>
      </c>
      <c r="M21" s="94"/>
      <c r="N21" s="95"/>
      <c r="O21" s="95"/>
    </row>
    <row r="22" ht="15.75" customHeight="1">
      <c r="A22" s="80" t="s">
        <v>90</v>
      </c>
      <c r="B22" s="90" t="s">
        <v>32</v>
      </c>
      <c r="C22" s="80" t="s">
        <v>90</v>
      </c>
      <c r="D22" s="90" t="s">
        <v>99</v>
      </c>
      <c r="E22" s="80" t="s">
        <v>17</v>
      </c>
      <c r="F22" s="80" t="s">
        <v>19</v>
      </c>
      <c r="G22" s="80" t="s">
        <v>47</v>
      </c>
      <c r="H22" s="80">
        <v>18896.0</v>
      </c>
      <c r="I22" s="80" t="s">
        <v>116</v>
      </c>
      <c r="J22" s="80" t="s">
        <v>81</v>
      </c>
      <c r="K22" s="80" t="s">
        <v>117</v>
      </c>
      <c r="L22" s="80" t="s">
        <v>26</v>
      </c>
      <c r="M22" s="82"/>
      <c r="N22" s="83"/>
      <c r="O22" s="83"/>
    </row>
    <row r="23" ht="15.75" customHeight="1">
      <c r="A23" s="84" t="s">
        <v>90</v>
      </c>
      <c r="B23" s="91" t="s">
        <v>32</v>
      </c>
      <c r="C23" s="84" t="s">
        <v>90</v>
      </c>
      <c r="D23" s="91" t="s">
        <v>99</v>
      </c>
      <c r="E23" s="84" t="s">
        <v>17</v>
      </c>
      <c r="F23" s="84" t="s">
        <v>23</v>
      </c>
      <c r="G23" s="84" t="s">
        <v>47</v>
      </c>
      <c r="H23" s="84" t="s">
        <v>118</v>
      </c>
      <c r="I23" s="84" t="s">
        <v>119</v>
      </c>
      <c r="J23" s="84" t="s">
        <v>81</v>
      </c>
      <c r="K23" s="84" t="s">
        <v>120</v>
      </c>
      <c r="L23" s="84" t="s">
        <v>26</v>
      </c>
      <c r="M23" s="86"/>
      <c r="N23" s="87"/>
      <c r="O23" s="87"/>
    </row>
    <row r="24" ht="15.75" customHeight="1">
      <c r="A24" s="80" t="s">
        <v>95</v>
      </c>
      <c r="B24" s="90" t="s">
        <v>32</v>
      </c>
      <c r="C24" s="80" t="s">
        <v>95</v>
      </c>
      <c r="D24" s="90" t="s">
        <v>99</v>
      </c>
      <c r="E24" s="80" t="s">
        <v>17</v>
      </c>
      <c r="F24" s="80" t="s">
        <v>19</v>
      </c>
      <c r="G24" s="80" t="s">
        <v>47</v>
      </c>
      <c r="H24" s="80">
        <v>15178.0</v>
      </c>
      <c r="I24" s="80" t="s">
        <v>121</v>
      </c>
      <c r="J24" s="80" t="s">
        <v>81</v>
      </c>
      <c r="K24" s="80" t="s">
        <v>122</v>
      </c>
      <c r="L24" s="80" t="s">
        <v>22</v>
      </c>
      <c r="M24" s="82"/>
      <c r="N24" s="83"/>
      <c r="O24" s="83"/>
    </row>
    <row r="25" ht="15.75" customHeight="1">
      <c r="A25" s="84" t="s">
        <v>95</v>
      </c>
      <c r="B25" s="91" t="s">
        <v>32</v>
      </c>
      <c r="C25" s="84" t="s">
        <v>95</v>
      </c>
      <c r="D25" s="91" t="s">
        <v>99</v>
      </c>
      <c r="E25" s="84" t="s">
        <v>17</v>
      </c>
      <c r="F25" s="84" t="s">
        <v>23</v>
      </c>
      <c r="G25" s="84" t="s">
        <v>47</v>
      </c>
      <c r="H25" s="84" t="s">
        <v>123</v>
      </c>
      <c r="I25" s="84" t="s">
        <v>86</v>
      </c>
      <c r="J25" s="84" t="s">
        <v>81</v>
      </c>
      <c r="K25" s="84" t="s">
        <v>87</v>
      </c>
      <c r="L25" s="84" t="s">
        <v>22</v>
      </c>
      <c r="M25" s="86"/>
      <c r="N25" s="87"/>
      <c r="O25" s="87"/>
    </row>
    <row r="26" ht="15.75" customHeight="1">
      <c r="A26" s="80" t="s">
        <v>79</v>
      </c>
      <c r="B26" s="81" t="s">
        <v>33</v>
      </c>
      <c r="C26" s="80" t="s">
        <v>79</v>
      </c>
      <c r="D26" s="81" t="s">
        <v>80</v>
      </c>
      <c r="E26" s="80" t="s">
        <v>28</v>
      </c>
      <c r="F26" s="80" t="s">
        <v>19</v>
      </c>
      <c r="G26" s="80" t="s">
        <v>47</v>
      </c>
      <c r="H26" s="80">
        <v>18403.0</v>
      </c>
      <c r="I26" s="80" t="s">
        <v>124</v>
      </c>
      <c r="J26" s="80" t="s">
        <v>81</v>
      </c>
      <c r="K26" s="80" t="s">
        <v>125</v>
      </c>
      <c r="L26" s="80" t="s">
        <v>26</v>
      </c>
      <c r="M26" s="82"/>
      <c r="N26" s="83"/>
      <c r="O26" s="83"/>
    </row>
    <row r="27" ht="15.75" customHeight="1">
      <c r="A27" s="84" t="s">
        <v>79</v>
      </c>
      <c r="B27" s="85" t="s">
        <v>33</v>
      </c>
      <c r="C27" s="84" t="s">
        <v>79</v>
      </c>
      <c r="D27" s="85" t="s">
        <v>80</v>
      </c>
      <c r="E27" s="84" t="s">
        <v>28</v>
      </c>
      <c r="F27" s="84" t="s">
        <v>23</v>
      </c>
      <c r="G27" s="84" t="s">
        <v>47</v>
      </c>
      <c r="H27" s="84" t="s">
        <v>126</v>
      </c>
      <c r="I27" s="84" t="s">
        <v>127</v>
      </c>
      <c r="J27" s="84" t="s">
        <v>81</v>
      </c>
      <c r="K27" s="84" t="s">
        <v>128</v>
      </c>
      <c r="L27" s="84" t="s">
        <v>93</v>
      </c>
      <c r="M27" s="86"/>
      <c r="N27" s="87"/>
      <c r="O27" s="87"/>
    </row>
    <row r="28" ht="15.75" customHeight="1">
      <c r="A28" s="80" t="s">
        <v>82</v>
      </c>
      <c r="B28" s="81" t="s">
        <v>33</v>
      </c>
      <c r="C28" s="80" t="s">
        <v>82</v>
      </c>
      <c r="D28" s="81" t="s">
        <v>80</v>
      </c>
      <c r="E28" s="80" t="s">
        <v>28</v>
      </c>
      <c r="F28" s="80" t="s">
        <v>19</v>
      </c>
      <c r="G28" s="80" t="s">
        <v>47</v>
      </c>
      <c r="H28" s="80">
        <v>0.0</v>
      </c>
      <c r="I28" s="80" t="s">
        <v>105</v>
      </c>
      <c r="J28" s="80" t="s">
        <v>81</v>
      </c>
      <c r="K28" s="80" t="e">
        <v>#VALUE!</v>
      </c>
      <c r="L28" s="80" t="s">
        <v>22</v>
      </c>
      <c r="M28" s="92"/>
      <c r="N28" s="93"/>
      <c r="O28" s="93"/>
    </row>
    <row r="29" ht="15.75" customHeight="1">
      <c r="A29" s="84" t="s">
        <v>82</v>
      </c>
      <c r="B29" s="85" t="s">
        <v>33</v>
      </c>
      <c r="C29" s="84" t="s">
        <v>82</v>
      </c>
      <c r="D29" s="85" t="s">
        <v>80</v>
      </c>
      <c r="E29" s="84" t="s">
        <v>28</v>
      </c>
      <c r="F29" s="84" t="s">
        <v>23</v>
      </c>
      <c r="G29" s="84" t="s">
        <v>47</v>
      </c>
      <c r="H29" s="84" t="s">
        <v>129</v>
      </c>
      <c r="I29" s="84" t="s">
        <v>86</v>
      </c>
      <c r="J29" s="84" t="s">
        <v>81</v>
      </c>
      <c r="K29" s="84" t="s">
        <v>87</v>
      </c>
      <c r="L29" s="84" t="s">
        <v>29</v>
      </c>
      <c r="M29" s="94"/>
      <c r="N29" s="95"/>
      <c r="O29" s="95"/>
    </row>
    <row r="30" ht="15.75" customHeight="1">
      <c r="A30" s="80" t="s">
        <v>88</v>
      </c>
      <c r="B30" s="81" t="s">
        <v>33</v>
      </c>
      <c r="C30" s="80" t="s">
        <v>88</v>
      </c>
      <c r="D30" s="81" t="s">
        <v>80</v>
      </c>
      <c r="E30" s="80" t="s">
        <v>28</v>
      </c>
      <c r="F30" s="80" t="s">
        <v>19</v>
      </c>
      <c r="G30" s="80" t="s">
        <v>47</v>
      </c>
      <c r="H30" s="96">
        <v>1251808.0</v>
      </c>
      <c r="I30" s="80" t="s">
        <v>130</v>
      </c>
      <c r="J30" s="80" t="s">
        <v>81</v>
      </c>
      <c r="K30" s="80" t="s">
        <v>131</v>
      </c>
      <c r="L30" s="80" t="s">
        <v>26</v>
      </c>
      <c r="M30" s="82"/>
      <c r="N30" s="83"/>
      <c r="O30" s="83"/>
    </row>
    <row r="31" ht="15.75" customHeight="1">
      <c r="A31" s="84" t="s">
        <v>88</v>
      </c>
      <c r="B31" s="85" t="s">
        <v>33</v>
      </c>
      <c r="C31" s="84" t="s">
        <v>88</v>
      </c>
      <c r="D31" s="85" t="s">
        <v>80</v>
      </c>
      <c r="E31" s="84" t="s">
        <v>28</v>
      </c>
      <c r="F31" s="84" t="s">
        <v>23</v>
      </c>
      <c r="G31" s="84" t="s">
        <v>47</v>
      </c>
      <c r="H31" s="84" t="s">
        <v>132</v>
      </c>
      <c r="I31" s="84" t="s">
        <v>133</v>
      </c>
      <c r="J31" s="84" t="s">
        <v>81</v>
      </c>
      <c r="K31" s="84" t="s">
        <v>134</v>
      </c>
      <c r="L31" s="84" t="s">
        <v>26</v>
      </c>
      <c r="M31" s="88"/>
      <c r="N31" s="89"/>
      <c r="O31" s="87"/>
    </row>
    <row r="32" ht="15.75" customHeight="1">
      <c r="A32" s="80" t="s">
        <v>89</v>
      </c>
      <c r="B32" s="81" t="s">
        <v>33</v>
      </c>
      <c r="C32" s="80" t="s">
        <v>89</v>
      </c>
      <c r="D32" s="81" t="s">
        <v>80</v>
      </c>
      <c r="E32" s="80" t="s">
        <v>28</v>
      </c>
      <c r="F32" s="80" t="s">
        <v>19</v>
      </c>
      <c r="G32" s="80" t="s">
        <v>47</v>
      </c>
      <c r="H32" s="80">
        <v>13586.0</v>
      </c>
      <c r="I32" s="80" t="s">
        <v>135</v>
      </c>
      <c r="J32" s="80" t="s">
        <v>81</v>
      </c>
      <c r="K32" s="80" t="s">
        <v>136</v>
      </c>
      <c r="L32" s="80" t="s">
        <v>26</v>
      </c>
      <c r="M32" s="82"/>
      <c r="N32" s="83"/>
      <c r="O32" s="83"/>
    </row>
    <row r="33" ht="15.75" customHeight="1">
      <c r="A33" s="84" t="s">
        <v>89</v>
      </c>
      <c r="B33" s="85" t="s">
        <v>33</v>
      </c>
      <c r="C33" s="84" t="s">
        <v>89</v>
      </c>
      <c r="D33" s="85" t="s">
        <v>80</v>
      </c>
      <c r="E33" s="84" t="s">
        <v>28</v>
      </c>
      <c r="F33" s="84" t="s">
        <v>23</v>
      </c>
      <c r="G33" s="84" t="s">
        <v>47</v>
      </c>
      <c r="H33" s="84" t="s">
        <v>137</v>
      </c>
      <c r="I33" s="84" t="s">
        <v>138</v>
      </c>
      <c r="J33" s="84" t="s">
        <v>81</v>
      </c>
      <c r="K33" s="84" t="s">
        <v>139</v>
      </c>
      <c r="L33" s="84" t="s">
        <v>26</v>
      </c>
      <c r="M33" s="86"/>
      <c r="N33" s="87"/>
      <c r="O33" s="87"/>
    </row>
    <row r="34" ht="15.75" customHeight="1">
      <c r="A34" s="80" t="s">
        <v>90</v>
      </c>
      <c r="B34" s="81" t="s">
        <v>33</v>
      </c>
      <c r="C34" s="80" t="s">
        <v>90</v>
      </c>
      <c r="D34" s="81" t="s">
        <v>80</v>
      </c>
      <c r="E34" s="80" t="s">
        <v>28</v>
      </c>
      <c r="F34" s="80" t="s">
        <v>19</v>
      </c>
      <c r="G34" s="80" t="s">
        <v>47</v>
      </c>
      <c r="H34" s="80">
        <v>11492.0</v>
      </c>
      <c r="I34" s="80" t="s">
        <v>105</v>
      </c>
      <c r="J34" s="80" t="s">
        <v>81</v>
      </c>
      <c r="K34" s="80" t="e">
        <v>#VALUE!</v>
      </c>
      <c r="L34" s="80" t="s">
        <v>22</v>
      </c>
      <c r="M34" s="82"/>
      <c r="N34" s="83"/>
      <c r="O34" s="83"/>
    </row>
    <row r="35" ht="15.75" customHeight="1">
      <c r="A35" s="84" t="s">
        <v>90</v>
      </c>
      <c r="B35" s="85" t="s">
        <v>33</v>
      </c>
      <c r="C35" s="84" t="s">
        <v>90</v>
      </c>
      <c r="D35" s="85" t="s">
        <v>80</v>
      </c>
      <c r="E35" s="84" t="s">
        <v>28</v>
      </c>
      <c r="F35" s="84" t="s">
        <v>23</v>
      </c>
      <c r="G35" s="84" t="s">
        <v>47</v>
      </c>
      <c r="H35" s="84" t="s">
        <v>140</v>
      </c>
      <c r="I35" s="84" t="s">
        <v>86</v>
      </c>
      <c r="J35" s="84" t="s">
        <v>81</v>
      </c>
      <c r="K35" s="84" t="s">
        <v>87</v>
      </c>
      <c r="L35" s="84" t="s">
        <v>22</v>
      </c>
      <c r="M35" s="88"/>
      <c r="N35" s="89"/>
      <c r="O35" s="83"/>
    </row>
    <row r="36" ht="15.75" customHeight="1">
      <c r="A36" s="80" t="s">
        <v>95</v>
      </c>
      <c r="B36" s="81" t="s">
        <v>33</v>
      </c>
      <c r="C36" s="80" t="s">
        <v>95</v>
      </c>
      <c r="D36" s="81" t="s">
        <v>80</v>
      </c>
      <c r="E36" s="80" t="s">
        <v>28</v>
      </c>
      <c r="F36" s="80" t="s">
        <v>19</v>
      </c>
      <c r="G36" s="80" t="s">
        <v>47</v>
      </c>
      <c r="H36" s="80">
        <v>18541.0</v>
      </c>
      <c r="I36" s="80" t="s">
        <v>141</v>
      </c>
      <c r="J36" s="80" t="s">
        <v>81</v>
      </c>
      <c r="K36" s="80" t="s">
        <v>142</v>
      </c>
      <c r="L36" s="80" t="s">
        <v>26</v>
      </c>
      <c r="M36" s="82"/>
      <c r="N36" s="83"/>
      <c r="O36" s="83"/>
    </row>
    <row r="37" ht="15.75" customHeight="1">
      <c r="A37" s="84" t="s">
        <v>95</v>
      </c>
      <c r="B37" s="85" t="s">
        <v>33</v>
      </c>
      <c r="C37" s="84" t="s">
        <v>95</v>
      </c>
      <c r="D37" s="85" t="s">
        <v>80</v>
      </c>
      <c r="E37" s="84" t="s">
        <v>28</v>
      </c>
      <c r="F37" s="84" t="s">
        <v>23</v>
      </c>
      <c r="G37" s="84" t="s">
        <v>47</v>
      </c>
      <c r="H37" s="84" t="s">
        <v>143</v>
      </c>
      <c r="I37" s="84" t="s">
        <v>144</v>
      </c>
      <c r="J37" s="84" t="s">
        <v>81</v>
      </c>
      <c r="K37" s="84" t="s">
        <v>145</v>
      </c>
      <c r="L37" s="84" t="s">
        <v>26</v>
      </c>
      <c r="M37" s="86"/>
      <c r="N37" s="87"/>
      <c r="O37" s="87"/>
    </row>
    <row r="38" ht="15.75" customHeight="1">
      <c r="A38" s="80" t="s">
        <v>79</v>
      </c>
      <c r="B38" s="90" t="s">
        <v>32</v>
      </c>
      <c r="C38" s="80" t="s">
        <v>79</v>
      </c>
      <c r="D38" s="90" t="s">
        <v>99</v>
      </c>
      <c r="E38" s="80" t="s">
        <v>28</v>
      </c>
      <c r="F38" s="80" t="s">
        <v>19</v>
      </c>
      <c r="G38" s="80" t="s">
        <v>47</v>
      </c>
      <c r="H38" s="80">
        <v>21908.0</v>
      </c>
      <c r="I38" s="80" t="s">
        <v>146</v>
      </c>
      <c r="J38" s="80" t="s">
        <v>81</v>
      </c>
      <c r="K38" s="80" t="s">
        <v>147</v>
      </c>
      <c r="L38" s="80" t="s">
        <v>26</v>
      </c>
      <c r="M38" s="82"/>
      <c r="N38" s="83"/>
      <c r="O38" s="83"/>
    </row>
    <row r="39" ht="15.75" customHeight="1">
      <c r="A39" s="84" t="s">
        <v>79</v>
      </c>
      <c r="B39" s="91" t="s">
        <v>32</v>
      </c>
      <c r="C39" s="84" t="s">
        <v>79</v>
      </c>
      <c r="D39" s="91" t="s">
        <v>99</v>
      </c>
      <c r="E39" s="84" t="s">
        <v>28</v>
      </c>
      <c r="F39" s="84" t="s">
        <v>23</v>
      </c>
      <c r="G39" s="84" t="s">
        <v>47</v>
      </c>
      <c r="H39" s="84" t="s">
        <v>148</v>
      </c>
      <c r="I39" s="84" t="s">
        <v>149</v>
      </c>
      <c r="J39" s="84" t="s">
        <v>81</v>
      </c>
      <c r="K39" s="84" t="s">
        <v>150</v>
      </c>
      <c r="L39" s="84" t="s">
        <v>26</v>
      </c>
      <c r="M39" s="86"/>
      <c r="N39" s="87"/>
      <c r="O39" s="87"/>
    </row>
    <row r="40" ht="15.75" customHeight="1">
      <c r="A40" s="80" t="s">
        <v>82</v>
      </c>
      <c r="B40" s="90" t="s">
        <v>32</v>
      </c>
      <c r="C40" s="80" t="s">
        <v>82</v>
      </c>
      <c r="D40" s="90" t="s">
        <v>99</v>
      </c>
      <c r="E40" s="80" t="s">
        <v>28</v>
      </c>
      <c r="F40" s="80" t="s">
        <v>19</v>
      </c>
      <c r="G40" s="80" t="s">
        <v>47</v>
      </c>
      <c r="H40" s="80">
        <v>34339.0</v>
      </c>
      <c r="I40" s="80">
        <v>1.0</v>
      </c>
      <c r="J40" s="80" t="s">
        <v>81</v>
      </c>
      <c r="K40" s="80" t="s">
        <v>147</v>
      </c>
      <c r="L40" s="80" t="s">
        <v>26</v>
      </c>
      <c r="M40" s="92"/>
      <c r="N40" s="93"/>
      <c r="O40" s="93"/>
    </row>
    <row r="41" ht="15.75" customHeight="1">
      <c r="A41" s="84" t="s">
        <v>82</v>
      </c>
      <c r="B41" s="91" t="s">
        <v>32</v>
      </c>
      <c r="C41" s="84" t="s">
        <v>82</v>
      </c>
      <c r="D41" s="91" t="s">
        <v>99</v>
      </c>
      <c r="E41" s="84" t="s">
        <v>28</v>
      </c>
      <c r="F41" s="84" t="s">
        <v>23</v>
      </c>
      <c r="G41" s="84" t="s">
        <v>47</v>
      </c>
      <c r="H41" s="84" t="s">
        <v>151</v>
      </c>
      <c r="I41" s="84">
        <v>1.0</v>
      </c>
      <c r="J41" s="84" t="s">
        <v>81</v>
      </c>
      <c r="K41" s="84" t="s">
        <v>147</v>
      </c>
      <c r="L41" s="84" t="s">
        <v>26</v>
      </c>
      <c r="M41" s="94"/>
      <c r="N41" s="95"/>
      <c r="O41" s="95"/>
    </row>
    <row r="42" ht="15.75" customHeight="1">
      <c r="A42" s="80" t="s">
        <v>88</v>
      </c>
      <c r="B42" s="90" t="s">
        <v>32</v>
      </c>
      <c r="C42" s="80" t="s">
        <v>88</v>
      </c>
      <c r="D42" s="90" t="s">
        <v>99</v>
      </c>
      <c r="E42" s="80" t="s">
        <v>28</v>
      </c>
      <c r="F42" s="80" t="s">
        <v>19</v>
      </c>
      <c r="G42" s="80" t="s">
        <v>47</v>
      </c>
      <c r="H42" s="96">
        <v>1565917.0</v>
      </c>
      <c r="I42" s="80" t="s">
        <v>152</v>
      </c>
      <c r="J42" s="80" t="s">
        <v>81</v>
      </c>
      <c r="K42" s="80" t="s">
        <v>153</v>
      </c>
      <c r="L42" s="80" t="s">
        <v>26</v>
      </c>
      <c r="M42" s="82"/>
      <c r="N42" s="83"/>
      <c r="O42" s="83"/>
    </row>
    <row r="43" ht="15.75" customHeight="1">
      <c r="A43" s="84" t="s">
        <v>88</v>
      </c>
      <c r="B43" s="91" t="s">
        <v>32</v>
      </c>
      <c r="C43" s="84" t="s">
        <v>88</v>
      </c>
      <c r="D43" s="91" t="s">
        <v>99</v>
      </c>
      <c r="E43" s="84" t="s">
        <v>28</v>
      </c>
      <c r="F43" s="84" t="s">
        <v>23</v>
      </c>
      <c r="G43" s="84" t="s">
        <v>47</v>
      </c>
      <c r="H43" s="84" t="s">
        <v>154</v>
      </c>
      <c r="I43" s="84" t="s">
        <v>155</v>
      </c>
      <c r="J43" s="84" t="s">
        <v>81</v>
      </c>
      <c r="K43" s="84" t="s">
        <v>156</v>
      </c>
      <c r="L43" s="84" t="s">
        <v>26</v>
      </c>
      <c r="M43" s="88"/>
      <c r="N43" s="89"/>
      <c r="O43" s="87"/>
    </row>
    <row r="44" ht="15.75" customHeight="1">
      <c r="A44" s="80" t="s">
        <v>89</v>
      </c>
      <c r="B44" s="90" t="s">
        <v>32</v>
      </c>
      <c r="C44" s="80" t="s">
        <v>89</v>
      </c>
      <c r="D44" s="90" t="s">
        <v>99</v>
      </c>
      <c r="E44" s="80" t="s">
        <v>28</v>
      </c>
      <c r="F44" s="80" t="s">
        <v>19</v>
      </c>
      <c r="G44" s="80" t="s">
        <v>47</v>
      </c>
      <c r="H44" s="80">
        <v>14176.0</v>
      </c>
      <c r="I44" s="80" t="s">
        <v>157</v>
      </c>
      <c r="J44" s="80" t="s">
        <v>81</v>
      </c>
      <c r="K44" s="80" t="s">
        <v>158</v>
      </c>
      <c r="L44" s="80" t="s">
        <v>26</v>
      </c>
      <c r="M44" s="82"/>
      <c r="N44" s="83"/>
      <c r="O44" s="83"/>
    </row>
    <row r="45" ht="15.75" customHeight="1">
      <c r="A45" s="84" t="s">
        <v>89</v>
      </c>
      <c r="B45" s="91" t="s">
        <v>32</v>
      </c>
      <c r="C45" s="84" t="s">
        <v>89</v>
      </c>
      <c r="D45" s="91" t="s">
        <v>99</v>
      </c>
      <c r="E45" s="84" t="s">
        <v>28</v>
      </c>
      <c r="F45" s="84" t="s">
        <v>23</v>
      </c>
      <c r="G45" s="84" t="s">
        <v>47</v>
      </c>
      <c r="H45" s="84" t="s">
        <v>159</v>
      </c>
      <c r="I45" s="84" t="s">
        <v>160</v>
      </c>
      <c r="J45" s="84" t="s">
        <v>81</v>
      </c>
      <c r="K45" s="84" t="s">
        <v>161</v>
      </c>
      <c r="L45" s="84" t="s">
        <v>26</v>
      </c>
      <c r="M45" s="86"/>
      <c r="N45" s="87"/>
      <c r="O45" s="87"/>
    </row>
    <row r="46" ht="15.75" customHeight="1">
      <c r="A46" s="80" t="s">
        <v>90</v>
      </c>
      <c r="B46" s="90" t="s">
        <v>32</v>
      </c>
      <c r="C46" s="80" t="s">
        <v>90</v>
      </c>
      <c r="D46" s="90" t="s">
        <v>99</v>
      </c>
      <c r="E46" s="80" t="s">
        <v>28</v>
      </c>
      <c r="F46" s="80" t="s">
        <v>19</v>
      </c>
      <c r="G46" s="80" t="s">
        <v>47</v>
      </c>
      <c r="H46" s="80">
        <v>12394.0</v>
      </c>
      <c r="I46" s="80" t="s">
        <v>162</v>
      </c>
      <c r="J46" s="80" t="s">
        <v>81</v>
      </c>
      <c r="K46" s="80" t="s">
        <v>163</v>
      </c>
      <c r="L46" s="80" t="s">
        <v>22</v>
      </c>
      <c r="M46" s="82"/>
      <c r="N46" s="83"/>
      <c r="O46" s="83"/>
    </row>
    <row r="47" ht="15.75" customHeight="1">
      <c r="A47" s="84" t="s">
        <v>90</v>
      </c>
      <c r="B47" s="91" t="s">
        <v>32</v>
      </c>
      <c r="C47" s="84" t="s">
        <v>90</v>
      </c>
      <c r="D47" s="91" t="s">
        <v>99</v>
      </c>
      <c r="E47" s="84" t="s">
        <v>28</v>
      </c>
      <c r="F47" s="84" t="s">
        <v>23</v>
      </c>
      <c r="G47" s="84" t="s">
        <v>47</v>
      </c>
      <c r="H47" s="84" t="s">
        <v>164</v>
      </c>
      <c r="I47" s="84" t="s">
        <v>86</v>
      </c>
      <c r="J47" s="84" t="s">
        <v>81</v>
      </c>
      <c r="K47" s="84" t="s">
        <v>87</v>
      </c>
      <c r="L47" s="84" t="s">
        <v>22</v>
      </c>
      <c r="M47" s="88"/>
      <c r="N47" s="89"/>
      <c r="O47" s="87"/>
    </row>
    <row r="48" ht="15.75" customHeight="1">
      <c r="A48" s="80" t="s">
        <v>95</v>
      </c>
      <c r="B48" s="90" t="s">
        <v>32</v>
      </c>
      <c r="C48" s="80" t="s">
        <v>95</v>
      </c>
      <c r="D48" s="90" t="s">
        <v>99</v>
      </c>
      <c r="E48" s="80" t="s">
        <v>28</v>
      </c>
      <c r="F48" s="80" t="s">
        <v>19</v>
      </c>
      <c r="G48" s="80" t="s">
        <v>47</v>
      </c>
      <c r="H48" s="80">
        <v>21908.0</v>
      </c>
      <c r="I48" s="80" t="s">
        <v>165</v>
      </c>
      <c r="J48" s="80" t="s">
        <v>81</v>
      </c>
      <c r="K48" s="80" t="s">
        <v>147</v>
      </c>
      <c r="L48" s="80" t="s">
        <v>26</v>
      </c>
      <c r="M48" s="82"/>
      <c r="N48" s="83"/>
      <c r="O48" s="83"/>
    </row>
    <row r="49" ht="15.75" customHeight="1">
      <c r="A49" s="84" t="s">
        <v>95</v>
      </c>
      <c r="B49" s="91" t="s">
        <v>32</v>
      </c>
      <c r="C49" s="84" t="s">
        <v>95</v>
      </c>
      <c r="D49" s="91" t="s">
        <v>99</v>
      </c>
      <c r="E49" s="84" t="s">
        <v>28</v>
      </c>
      <c r="F49" s="84" t="s">
        <v>23</v>
      </c>
      <c r="G49" s="84" t="s">
        <v>47</v>
      </c>
      <c r="H49" s="84" t="s">
        <v>148</v>
      </c>
      <c r="I49" s="84" t="s">
        <v>166</v>
      </c>
      <c r="J49" s="84" t="s">
        <v>81</v>
      </c>
      <c r="K49" s="84" t="s">
        <v>167</v>
      </c>
      <c r="L49" s="84" t="s">
        <v>26</v>
      </c>
      <c r="M49" s="86"/>
      <c r="N49" s="87"/>
      <c r="O49" s="87"/>
    </row>
    <row r="50" ht="15.75" customHeight="1">
      <c r="A50" s="3"/>
      <c r="B50" s="17"/>
      <c r="C50" s="6"/>
      <c r="D50" s="17"/>
      <c r="E50" s="6"/>
      <c r="F50" s="6"/>
      <c r="G50" s="6"/>
      <c r="H50" s="6"/>
      <c r="I50" s="6"/>
      <c r="J50" s="6"/>
      <c r="K50" s="6"/>
      <c r="L50" s="6"/>
      <c r="M50" s="9"/>
    </row>
    <row r="51" ht="15.75" customHeight="1">
      <c r="A51" s="10"/>
      <c r="B51" s="19"/>
      <c r="C51" s="13"/>
      <c r="D51" s="19"/>
      <c r="E51" s="13"/>
      <c r="F51" s="13"/>
      <c r="G51" s="13"/>
      <c r="H51" s="13"/>
      <c r="I51" s="13"/>
      <c r="J51" s="13"/>
      <c r="K51" s="6"/>
      <c r="L51" s="13"/>
      <c r="M51" s="16"/>
    </row>
    <row r="52" ht="15.75" customHeight="1">
      <c r="A52" s="3"/>
      <c r="B52" s="17"/>
      <c r="C52" s="6"/>
      <c r="D52" s="17"/>
      <c r="E52" s="6"/>
      <c r="F52" s="6"/>
      <c r="G52" s="6"/>
      <c r="H52" s="6"/>
      <c r="I52" s="6"/>
      <c r="J52" s="6"/>
      <c r="K52" s="6"/>
      <c r="L52" s="6"/>
      <c r="M52" s="9"/>
    </row>
    <row r="53" ht="15.75" customHeight="1">
      <c r="A53" s="10"/>
      <c r="B53" s="19"/>
      <c r="C53" s="13"/>
      <c r="D53" s="19"/>
      <c r="E53" s="13"/>
      <c r="F53" s="13"/>
      <c r="G53" s="13"/>
      <c r="H53" s="13"/>
      <c r="I53" s="13"/>
      <c r="J53" s="13"/>
      <c r="K53" s="6"/>
      <c r="L53" s="13"/>
      <c r="M53" s="16"/>
    </row>
    <row r="54" ht="15.75" customHeight="1">
      <c r="A54" s="3"/>
      <c r="B54" s="17"/>
      <c r="C54" s="6"/>
      <c r="D54" s="17"/>
      <c r="E54" s="6"/>
      <c r="F54" s="6"/>
      <c r="G54" s="6"/>
      <c r="H54" s="6"/>
      <c r="I54" s="6"/>
      <c r="J54" s="6"/>
      <c r="K54" s="6"/>
      <c r="L54" s="6"/>
      <c r="M54" s="97"/>
    </row>
    <row r="55" ht="15.75" customHeight="1">
      <c r="A55" s="10"/>
      <c r="B55" s="19"/>
      <c r="C55" s="13"/>
      <c r="D55" s="19"/>
      <c r="E55" s="13"/>
      <c r="F55" s="13"/>
      <c r="G55" s="13"/>
      <c r="H55" s="13"/>
      <c r="I55" s="13"/>
      <c r="J55" s="13"/>
      <c r="K55" s="6"/>
      <c r="L55" s="13"/>
      <c r="M55" s="98"/>
    </row>
    <row r="56" ht="15.75" customHeight="1">
      <c r="A56" s="3"/>
      <c r="B56" s="17"/>
      <c r="C56" s="6"/>
      <c r="D56" s="17"/>
      <c r="E56" s="6"/>
      <c r="F56" s="6"/>
      <c r="G56" s="6"/>
      <c r="H56" s="6"/>
      <c r="I56" s="6"/>
      <c r="J56" s="6"/>
      <c r="K56" s="6"/>
      <c r="L56" s="6"/>
      <c r="M56" s="9"/>
    </row>
    <row r="57" ht="15.75" customHeight="1">
      <c r="A57" s="10"/>
      <c r="B57" s="19"/>
      <c r="C57" s="13"/>
      <c r="D57" s="19"/>
      <c r="E57" s="13"/>
      <c r="F57" s="13"/>
      <c r="G57" s="13"/>
      <c r="H57" s="13"/>
      <c r="I57" s="13"/>
      <c r="J57" s="13"/>
      <c r="K57" s="6"/>
      <c r="L57" s="13"/>
      <c r="M57" s="16"/>
    </row>
    <row r="58" ht="15.75" customHeight="1">
      <c r="A58" s="3"/>
      <c r="B58" s="4"/>
      <c r="C58" s="6"/>
      <c r="D58" s="4"/>
      <c r="E58" s="6"/>
      <c r="F58" s="6"/>
      <c r="G58" s="6"/>
      <c r="H58" s="6"/>
      <c r="I58" s="6"/>
      <c r="J58" s="6"/>
      <c r="K58" s="6"/>
      <c r="L58" s="6"/>
      <c r="M58" s="9"/>
    </row>
    <row r="59" ht="15.75" customHeight="1">
      <c r="A59" s="10"/>
      <c r="B59" s="11"/>
      <c r="C59" s="13"/>
      <c r="D59" s="11"/>
      <c r="E59" s="13"/>
      <c r="F59" s="13"/>
      <c r="G59" s="13"/>
      <c r="H59" s="13"/>
      <c r="I59" s="13"/>
      <c r="J59" s="13"/>
      <c r="K59" s="6"/>
      <c r="L59" s="13"/>
      <c r="M59" s="16"/>
    </row>
    <row r="60" ht="15.75" customHeight="1">
      <c r="A60" s="3"/>
      <c r="B60" s="4"/>
      <c r="C60" s="6"/>
      <c r="D60" s="4"/>
      <c r="E60" s="6"/>
      <c r="F60" s="6"/>
      <c r="G60" s="6"/>
      <c r="H60" s="6"/>
      <c r="I60" s="6"/>
      <c r="J60" s="6"/>
      <c r="K60" s="6"/>
      <c r="L60" s="6"/>
      <c r="M60" s="9"/>
    </row>
    <row r="61" ht="15.75" customHeight="1">
      <c r="A61" s="10"/>
      <c r="B61" s="11"/>
      <c r="C61" s="13"/>
      <c r="D61" s="11"/>
      <c r="E61" s="13"/>
      <c r="F61" s="13"/>
      <c r="G61" s="13"/>
      <c r="H61" s="13"/>
      <c r="I61" s="13"/>
      <c r="J61" s="13"/>
      <c r="K61" s="6"/>
      <c r="L61" s="13"/>
      <c r="M61" s="16"/>
    </row>
    <row r="62" ht="15.75" customHeight="1">
      <c r="A62" s="3"/>
      <c r="B62" s="4"/>
      <c r="C62" s="6"/>
      <c r="D62" s="4"/>
      <c r="E62" s="6"/>
      <c r="F62" s="6"/>
      <c r="G62" s="6"/>
      <c r="H62" s="6"/>
      <c r="I62" s="6"/>
      <c r="J62" s="6"/>
      <c r="K62" s="6"/>
      <c r="L62" s="6"/>
      <c r="M62" s="9"/>
    </row>
    <row r="63" ht="15.75" customHeight="1">
      <c r="A63" s="10"/>
      <c r="B63" s="11"/>
      <c r="C63" s="13"/>
      <c r="D63" s="11"/>
      <c r="E63" s="13"/>
      <c r="F63" s="13"/>
      <c r="G63" s="13"/>
      <c r="H63" s="13"/>
      <c r="I63" s="13"/>
      <c r="J63" s="13"/>
      <c r="K63" s="6"/>
      <c r="L63" s="13"/>
      <c r="M63" s="16"/>
    </row>
    <row r="64" ht="15.75" customHeight="1">
      <c r="A64" s="3"/>
      <c r="B64" s="4"/>
      <c r="C64" s="6"/>
      <c r="D64" s="4"/>
      <c r="E64" s="6"/>
      <c r="F64" s="6"/>
      <c r="G64" s="6"/>
      <c r="H64" s="6"/>
      <c r="I64" s="6"/>
      <c r="J64" s="6"/>
      <c r="K64" s="6"/>
      <c r="L64" s="6"/>
      <c r="M64" s="9"/>
    </row>
    <row r="65" ht="15.75" customHeight="1">
      <c r="A65" s="10"/>
      <c r="B65" s="11"/>
      <c r="C65" s="13"/>
      <c r="D65" s="11"/>
      <c r="E65" s="13"/>
      <c r="F65" s="13"/>
      <c r="G65" s="13"/>
      <c r="H65" s="13"/>
      <c r="I65" s="13"/>
      <c r="J65" s="13"/>
      <c r="K65" s="6"/>
      <c r="L65" s="13"/>
      <c r="M65" s="16"/>
    </row>
    <row r="66" ht="15.75" customHeight="1">
      <c r="A66" s="3"/>
      <c r="B66" s="17"/>
      <c r="C66" s="6"/>
      <c r="D66" s="17"/>
      <c r="E66" s="6"/>
      <c r="F66" s="6"/>
      <c r="G66" s="6"/>
      <c r="H66" s="6"/>
      <c r="I66" s="6"/>
      <c r="J66" s="6"/>
      <c r="K66" s="6"/>
      <c r="L66" s="6"/>
      <c r="M66" s="9"/>
    </row>
    <row r="67" ht="15.75" customHeight="1">
      <c r="A67" s="10"/>
      <c r="B67" s="19"/>
      <c r="C67" s="13"/>
      <c r="D67" s="19"/>
      <c r="E67" s="13"/>
      <c r="F67" s="13"/>
      <c r="G67" s="13"/>
      <c r="H67" s="13"/>
      <c r="I67" s="13"/>
      <c r="J67" s="12"/>
      <c r="K67" s="6"/>
      <c r="L67" s="13"/>
      <c r="M67" s="16"/>
      <c r="N67" s="18" t="s">
        <v>168</v>
      </c>
    </row>
    <row r="68" ht="15.75" customHeight="1">
      <c r="A68" s="3"/>
      <c r="B68" s="17"/>
      <c r="C68" s="6"/>
      <c r="D68" s="17"/>
      <c r="E68" s="6"/>
      <c r="F68" s="6"/>
      <c r="G68" s="6"/>
      <c r="H68" s="6"/>
      <c r="I68" s="6"/>
      <c r="J68" s="6"/>
      <c r="K68" s="6"/>
      <c r="L68" s="6"/>
      <c r="M68" s="9"/>
    </row>
    <row r="69" ht="15.75" customHeight="1">
      <c r="A69" s="10"/>
      <c r="B69" s="19"/>
      <c r="C69" s="13"/>
      <c r="D69" s="19"/>
      <c r="E69" s="13"/>
      <c r="F69" s="13"/>
      <c r="G69" s="13"/>
      <c r="H69" s="13"/>
      <c r="I69" s="13"/>
      <c r="J69" s="13"/>
      <c r="K69" s="6"/>
      <c r="L69" s="13"/>
      <c r="M69" s="16"/>
    </row>
    <row r="70" ht="15.75" customHeight="1">
      <c r="A70" s="3"/>
      <c r="B70" s="17"/>
      <c r="C70" s="6"/>
      <c r="D70" s="17"/>
      <c r="E70" s="6"/>
      <c r="F70" s="6"/>
      <c r="G70" s="6"/>
      <c r="H70" s="6"/>
      <c r="I70" s="6"/>
      <c r="J70" s="6"/>
      <c r="K70" s="6"/>
      <c r="L70" s="6"/>
      <c r="M70" s="9"/>
    </row>
    <row r="71" ht="15.75" customHeight="1">
      <c r="A71" s="10"/>
      <c r="B71" s="19"/>
      <c r="C71" s="13"/>
      <c r="D71" s="19"/>
      <c r="E71" s="13"/>
      <c r="F71" s="13"/>
      <c r="G71" s="13"/>
      <c r="H71" s="13"/>
      <c r="I71" s="13"/>
      <c r="J71" s="13"/>
      <c r="K71" s="6"/>
      <c r="L71" s="13"/>
      <c r="M71" s="16"/>
    </row>
    <row r="72" ht="15.75" customHeight="1">
      <c r="A72" s="3"/>
      <c r="B72" s="17"/>
      <c r="C72" s="6"/>
      <c r="D72" s="17"/>
      <c r="E72" s="6"/>
      <c r="F72" s="6"/>
      <c r="G72" s="6"/>
      <c r="H72" s="6"/>
      <c r="I72" s="6"/>
      <c r="J72" s="6"/>
      <c r="K72" s="6"/>
      <c r="L72" s="6"/>
      <c r="M72" s="9"/>
    </row>
    <row r="73" ht="15.75" customHeight="1">
      <c r="A73" s="10"/>
      <c r="B73" s="19"/>
      <c r="C73" s="13"/>
      <c r="D73" s="19"/>
      <c r="E73" s="13"/>
      <c r="F73" s="13"/>
      <c r="G73" s="13"/>
      <c r="H73" s="13"/>
      <c r="I73" s="13"/>
      <c r="J73" s="13"/>
      <c r="K73" s="6"/>
      <c r="L73" s="13"/>
      <c r="M73" s="16"/>
    </row>
    <row r="74" ht="15.75" customHeight="1">
      <c r="A74" s="3"/>
      <c r="B74" s="4"/>
      <c r="C74" s="6"/>
      <c r="D74" s="4"/>
      <c r="E74" s="6"/>
      <c r="F74" s="6"/>
      <c r="G74" s="6"/>
      <c r="H74" s="6"/>
      <c r="I74" s="6"/>
      <c r="J74" s="6"/>
      <c r="K74" s="6"/>
      <c r="L74" s="6"/>
      <c r="M74" s="97"/>
    </row>
    <row r="75" ht="15.75" customHeight="1">
      <c r="A75" s="10"/>
      <c r="B75" s="11"/>
      <c r="C75" s="13"/>
      <c r="D75" s="11"/>
      <c r="E75" s="13"/>
      <c r="F75" s="13"/>
      <c r="G75" s="13"/>
      <c r="H75" s="13"/>
      <c r="I75" s="13"/>
      <c r="J75" s="13"/>
      <c r="K75" s="6"/>
      <c r="L75" s="13"/>
      <c r="M75" s="98"/>
    </row>
    <row r="76" ht="15.75" customHeight="1">
      <c r="A76" s="3"/>
      <c r="B76" s="4"/>
      <c r="C76" s="6"/>
      <c r="D76" s="4"/>
      <c r="E76" s="6"/>
      <c r="F76" s="6"/>
      <c r="G76" s="6"/>
      <c r="H76" s="6"/>
      <c r="I76" s="6"/>
      <c r="J76" s="6"/>
      <c r="K76" s="6"/>
      <c r="L76" s="6"/>
      <c r="M76" s="97"/>
    </row>
    <row r="77" ht="15.75" customHeight="1">
      <c r="A77" s="10"/>
      <c r="B77" s="11"/>
      <c r="C77" s="13"/>
      <c r="D77" s="11"/>
      <c r="E77" s="13"/>
      <c r="F77" s="13"/>
      <c r="G77" s="13"/>
      <c r="H77" s="13"/>
      <c r="I77" s="13"/>
      <c r="J77" s="13"/>
      <c r="K77" s="6"/>
      <c r="L77" s="13"/>
      <c r="M77" s="98"/>
    </row>
    <row r="78" ht="15.75" customHeight="1">
      <c r="A78" s="3"/>
      <c r="B78" s="4"/>
      <c r="C78" s="6"/>
      <c r="D78" s="4"/>
      <c r="E78" s="6"/>
      <c r="F78" s="6"/>
      <c r="G78" s="6"/>
      <c r="H78" s="6"/>
      <c r="I78" s="6"/>
      <c r="J78" s="6"/>
      <c r="K78" s="6"/>
      <c r="L78" s="6"/>
      <c r="M78" s="9"/>
    </row>
    <row r="79" ht="15.75" customHeight="1">
      <c r="A79" s="10"/>
      <c r="B79" s="11"/>
      <c r="C79" s="13"/>
      <c r="D79" s="11"/>
      <c r="E79" s="13"/>
      <c r="F79" s="13"/>
      <c r="G79" s="13"/>
      <c r="H79" s="13"/>
      <c r="I79" s="13"/>
      <c r="J79" s="13"/>
      <c r="K79" s="6"/>
      <c r="L79" s="13"/>
      <c r="M79" s="16"/>
    </row>
    <row r="80" ht="15.75" customHeight="1">
      <c r="A80" s="3"/>
      <c r="B80" s="4"/>
      <c r="C80" s="6"/>
      <c r="D80" s="4"/>
      <c r="E80" s="6"/>
      <c r="F80" s="6"/>
      <c r="G80" s="6"/>
      <c r="H80" s="6"/>
      <c r="I80" s="6"/>
      <c r="J80" s="6"/>
      <c r="K80" s="6"/>
      <c r="L80" s="6"/>
      <c r="M80" s="97"/>
    </row>
    <row r="81" ht="15.75" customHeight="1">
      <c r="A81" s="10"/>
      <c r="B81" s="11"/>
      <c r="C81" s="13"/>
      <c r="D81" s="11"/>
      <c r="E81" s="13"/>
      <c r="F81" s="13"/>
      <c r="G81" s="13"/>
      <c r="H81" s="13"/>
      <c r="I81" s="13"/>
      <c r="J81" s="13"/>
      <c r="K81" s="6"/>
      <c r="L81" s="13"/>
      <c r="M81" s="98"/>
    </row>
    <row r="82" ht="15.75" customHeight="1">
      <c r="A82" s="3"/>
      <c r="B82" s="17"/>
      <c r="C82" s="6"/>
      <c r="D82" s="17"/>
      <c r="E82" s="6"/>
      <c r="F82" s="6"/>
      <c r="G82" s="6"/>
      <c r="H82" s="6"/>
      <c r="I82" s="6"/>
      <c r="J82" s="6"/>
      <c r="K82" s="6"/>
      <c r="L82" s="6"/>
      <c r="M82" s="9"/>
    </row>
    <row r="83" ht="15.75" customHeight="1">
      <c r="A83" s="10"/>
      <c r="B83" s="19"/>
      <c r="C83" s="13"/>
      <c r="D83" s="19"/>
      <c r="E83" s="13"/>
      <c r="F83" s="13"/>
      <c r="G83" s="13"/>
      <c r="H83" s="13"/>
      <c r="I83" s="13"/>
      <c r="J83" s="13"/>
      <c r="K83" s="6"/>
      <c r="L83" s="13"/>
      <c r="M83" s="16"/>
    </row>
    <row r="84" ht="15.75" customHeight="1">
      <c r="A84" s="3"/>
      <c r="B84" s="17"/>
      <c r="C84" s="6"/>
      <c r="D84" s="17"/>
      <c r="E84" s="6"/>
      <c r="F84" s="6"/>
      <c r="G84" s="6"/>
      <c r="H84" s="6"/>
      <c r="I84" s="6"/>
      <c r="J84" s="6"/>
      <c r="K84" s="6"/>
      <c r="L84" s="6"/>
      <c r="M84" s="97"/>
    </row>
    <row r="85" ht="15.75" customHeight="1">
      <c r="A85" s="10"/>
      <c r="B85" s="19"/>
      <c r="C85" s="13"/>
      <c r="D85" s="19"/>
      <c r="E85" s="13"/>
      <c r="F85" s="13"/>
      <c r="G85" s="13"/>
      <c r="H85" s="13"/>
      <c r="I85" s="13"/>
      <c r="J85" s="13"/>
      <c r="K85" s="6"/>
      <c r="L85" s="13"/>
      <c r="M85" s="98"/>
    </row>
    <row r="86" ht="15.75" customHeight="1">
      <c r="A86" s="3"/>
      <c r="B86" s="17"/>
      <c r="C86" s="6"/>
      <c r="D86" s="17"/>
      <c r="E86" s="6"/>
      <c r="F86" s="6"/>
      <c r="G86" s="6"/>
      <c r="H86" s="6"/>
      <c r="I86" s="6"/>
      <c r="J86" s="6"/>
      <c r="K86" s="6"/>
      <c r="L86" s="6"/>
      <c r="M86" s="9"/>
    </row>
    <row r="87" ht="15.75" customHeight="1">
      <c r="A87" s="10"/>
      <c r="B87" s="19"/>
      <c r="C87" s="13"/>
      <c r="D87" s="19"/>
      <c r="E87" s="13"/>
      <c r="F87" s="13"/>
      <c r="G87" s="13"/>
      <c r="H87" s="13"/>
      <c r="I87" s="13"/>
      <c r="J87" s="13"/>
      <c r="K87" s="6"/>
      <c r="L87" s="13"/>
      <c r="M87" s="16"/>
    </row>
    <row r="88" ht="15.75" customHeight="1">
      <c r="A88" s="3"/>
      <c r="B88" s="17"/>
      <c r="C88" s="6"/>
      <c r="D88" s="17"/>
      <c r="E88" s="6"/>
      <c r="F88" s="6"/>
      <c r="G88" s="6"/>
      <c r="H88" s="6"/>
      <c r="I88" s="6"/>
      <c r="J88" s="6"/>
      <c r="K88" s="6"/>
      <c r="L88" s="6"/>
      <c r="M88" s="97"/>
    </row>
    <row r="89" ht="15.75" customHeight="1">
      <c r="A89" s="10"/>
      <c r="B89" s="19"/>
      <c r="C89" s="13"/>
      <c r="D89" s="19"/>
      <c r="E89" s="13"/>
      <c r="F89" s="13"/>
      <c r="G89" s="13"/>
      <c r="H89" s="13"/>
      <c r="I89" s="13"/>
      <c r="J89" s="13"/>
      <c r="K89" s="6"/>
      <c r="L89" s="13"/>
      <c r="M89" s="9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2018-05-25T12:28:00Z</dcterms:created>
  <dc:creator>wps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